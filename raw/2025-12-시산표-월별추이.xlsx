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\share\Public\4. 個人別フォルダ\職員\（52）李京恩\顧問先\12320 ㈱マザースマイル\会計資料\第9期：2025.4-2025.12 ※決算月変更\報告\2025.12\"/>
    </mc:Choice>
  </mc:AlternateContent>
  <xr:revisionPtr revIDLastSave="0" documentId="8_{757E087D-7F37-42A5-B3E9-9D490D5861A8}" xr6:coauthVersionLast="47" xr6:coauthVersionMax="47" xr10:uidLastSave="{00000000-0000-0000-0000-000000000000}"/>
  <bookViews>
    <workbookView xWindow="-120" yWindow="-120" windowWidth="20730" windowHeight="11040" tabRatio="500" firstSheet="1" activeTab="1" xr2:uid="{00000000-000D-0000-FFFF-FFFF00000000}"/>
  </bookViews>
  <sheets>
    <sheet name="BS" sheetId="2" r:id="rId1"/>
    <sheet name="PL" sheetId="3" r:id="rId2"/>
    <sheet name="Sheet1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6" i="3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6" i="2"/>
</calcChain>
</file>

<file path=xl/sharedStrings.xml><?xml version="1.0" encoding="utf-8"?>
<sst xmlns="http://schemas.openxmlformats.org/spreadsheetml/2006/main" count="534" uniqueCount="370">
  <si>
    <t>帳票名：残高試算表(年間推移)</t>
  </si>
  <si>
    <t>事業所名：株式会社マザースマイル</t>
  </si>
  <si>
    <t>税抜/税込：税抜</t>
  </si>
  <si>
    <t>勘定科目</t>
  </si>
  <si>
    <t xml:space="preserve"> 4月度</t>
  </si>
  <si>
    <t xml:space="preserve"> 5月度</t>
  </si>
  <si>
    <t xml:space="preserve"> 6月度</t>
  </si>
  <si>
    <t xml:space="preserve"> 7月度</t>
  </si>
  <si>
    <t xml:space="preserve"> 8月度</t>
  </si>
  <si>
    <t xml:space="preserve"> 9月度</t>
  </si>
  <si>
    <t>上半期残高(合計)</t>
  </si>
  <si>
    <t>10月度</t>
  </si>
  <si>
    <t>11月度</t>
  </si>
  <si>
    <t>12月度</t>
  </si>
  <si>
    <t xml:space="preserve"> 1月度</t>
  </si>
  <si>
    <t xml:space="preserve"> 2月度</t>
  </si>
  <si>
    <t xml:space="preserve"> 3月度</t>
  </si>
  <si>
    <t>下半期残高(合計)</t>
  </si>
  <si>
    <t>当期仮残高(合計)</t>
  </si>
  <si>
    <t>決算残高(合計)</t>
  </si>
  <si>
    <t>当期残高(合計)</t>
  </si>
  <si>
    <t>[現金･預金]</t>
  </si>
  <si>
    <t>現金</t>
  </si>
  <si>
    <t>普通預金</t>
  </si>
  <si>
    <t>現金･預金合計</t>
  </si>
  <si>
    <t>[売上債権]</t>
  </si>
  <si>
    <t>売掛金</t>
  </si>
  <si>
    <t>貸倒引当金(売)</t>
  </si>
  <si>
    <t>売上債権合計</t>
  </si>
  <si>
    <t>[有価証券]</t>
  </si>
  <si>
    <t>有価証券合計</t>
  </si>
  <si>
    <t>[棚卸資産]</t>
  </si>
  <si>
    <t>商品</t>
  </si>
  <si>
    <t>棚卸資産合計</t>
  </si>
  <si>
    <t>[他流動資産]</t>
  </si>
  <si>
    <t>前渡金</t>
  </si>
  <si>
    <t>立替金</t>
  </si>
  <si>
    <t>前払費用</t>
  </si>
  <si>
    <t>未収入金</t>
  </si>
  <si>
    <t>仮払金</t>
  </si>
  <si>
    <t>仮払消費税等</t>
  </si>
  <si>
    <t>他流動資産合計</t>
  </si>
  <si>
    <t>流動資産合計</t>
  </si>
  <si>
    <t>[有形固定資産]</t>
  </si>
  <si>
    <t>車両運搬具</t>
  </si>
  <si>
    <t>工具器具備品</t>
  </si>
  <si>
    <t>一括償却資産</t>
  </si>
  <si>
    <t>減価償却累計額</t>
  </si>
  <si>
    <t>有形固定資産計</t>
  </si>
  <si>
    <t>[無形固定資産]</t>
  </si>
  <si>
    <t>無形固定資産計</t>
  </si>
  <si>
    <t>[投資その他の資産]</t>
  </si>
  <si>
    <t>差入保証金</t>
  </si>
  <si>
    <t>長期貸付金</t>
  </si>
  <si>
    <t>長期前払費用</t>
  </si>
  <si>
    <t>リサイクル預託金</t>
  </si>
  <si>
    <t>投資その他の資産合計</t>
  </si>
  <si>
    <t>固定資産合計</t>
  </si>
  <si>
    <t>[繰延資産]</t>
  </si>
  <si>
    <t>繰延資産合計</t>
  </si>
  <si>
    <t>[諸口]</t>
  </si>
  <si>
    <t>資産合計</t>
  </si>
  <si>
    <t>[仕入債務]</t>
  </si>
  <si>
    <t>買掛金</t>
  </si>
  <si>
    <t>仕入債務合計</t>
  </si>
  <si>
    <t>[他流動負債]</t>
  </si>
  <si>
    <t>短期借入金</t>
  </si>
  <si>
    <t>未払金</t>
  </si>
  <si>
    <t>未払費用</t>
  </si>
  <si>
    <t>未払法人税等</t>
  </si>
  <si>
    <t>未払消費税等</t>
  </si>
  <si>
    <t>前受金</t>
  </si>
  <si>
    <t>預り金</t>
  </si>
  <si>
    <t>仮受金</t>
  </si>
  <si>
    <t>仮受消費税等</t>
  </si>
  <si>
    <t>他流動負債合計</t>
  </si>
  <si>
    <t>流動負債合計</t>
  </si>
  <si>
    <t>[固定負債]</t>
  </si>
  <si>
    <t>長期借入金</t>
  </si>
  <si>
    <t>長期未払金</t>
  </si>
  <si>
    <t>固定負債合計</t>
  </si>
  <si>
    <t>負債合計</t>
  </si>
  <si>
    <t>[資本金]</t>
  </si>
  <si>
    <t>資本金</t>
  </si>
  <si>
    <t>資本金合計</t>
  </si>
  <si>
    <t>[新株式申込証拠金]</t>
  </si>
  <si>
    <t>新株式申込証拠金合計</t>
  </si>
  <si>
    <t>[資本剰余金]</t>
  </si>
  <si>
    <t>資本準備金合計</t>
  </si>
  <si>
    <t>その他資本剰余金合計</t>
  </si>
  <si>
    <t>資本剰余金合計</t>
  </si>
  <si>
    <t>[利益剰余金]</t>
  </si>
  <si>
    <t>利益準備金合計</t>
  </si>
  <si>
    <t>任意積立金合計</t>
  </si>
  <si>
    <t>繰越利益</t>
  </si>
  <si>
    <t>当期純損益金額</t>
  </si>
  <si>
    <t>繰越利益剰余金合計</t>
  </si>
  <si>
    <t>その他利益剰余金合計</t>
  </si>
  <si>
    <t>利益剰余金合計</t>
  </si>
  <si>
    <t>[自己株式]</t>
  </si>
  <si>
    <t>自己株式合計</t>
  </si>
  <si>
    <t>[自己株式申込証拠金]</t>
  </si>
  <si>
    <t>自己株式申込証拠金合計</t>
  </si>
  <si>
    <t>株主資本合計</t>
  </si>
  <si>
    <t>[評価･換算差額等]</t>
  </si>
  <si>
    <t>評価･換算差額等合計</t>
  </si>
  <si>
    <t>[新株予約権]</t>
  </si>
  <si>
    <t>新株予約権合計</t>
  </si>
  <si>
    <t>純資産合計</t>
  </si>
  <si>
    <t>負債･純資産合計</t>
  </si>
  <si>
    <t>[売上高]</t>
  </si>
  <si>
    <t>売上高</t>
  </si>
  <si>
    <t>売上戻り高</t>
  </si>
  <si>
    <t>売上高合計</t>
  </si>
  <si>
    <t>[売上原価]</t>
  </si>
  <si>
    <t>期首商品棚卸高</t>
  </si>
  <si>
    <t>仕入高</t>
  </si>
  <si>
    <t>仕入諸掛費</t>
  </si>
  <si>
    <t>当期商品仕入高</t>
  </si>
  <si>
    <t>合計</t>
  </si>
  <si>
    <t>他勘定振替高(商)</t>
  </si>
  <si>
    <t>期末商品棚卸高</t>
  </si>
  <si>
    <t>売上原価</t>
  </si>
  <si>
    <t>売上総損益金額</t>
  </si>
  <si>
    <t>[販売管理費]</t>
  </si>
  <si>
    <t>役員報酬</t>
  </si>
  <si>
    <t>給料手当</t>
  </si>
  <si>
    <t>雑給</t>
  </si>
  <si>
    <t>賞与</t>
  </si>
  <si>
    <t>法定福利費</t>
  </si>
  <si>
    <t>福利厚生費</t>
  </si>
  <si>
    <t>外注費</t>
  </si>
  <si>
    <t>荷造運賃</t>
  </si>
  <si>
    <t>広告宣伝費</t>
  </si>
  <si>
    <t>交際費</t>
  </si>
  <si>
    <t>会議費</t>
  </si>
  <si>
    <t>旅費交通費</t>
  </si>
  <si>
    <t>通信費</t>
  </si>
  <si>
    <t>販売促進費</t>
  </si>
  <si>
    <t>消耗品費</t>
  </si>
  <si>
    <t>修繕費</t>
  </si>
  <si>
    <t>水道光熱費</t>
  </si>
  <si>
    <t>支払手数料</t>
  </si>
  <si>
    <t>車両費</t>
  </si>
  <si>
    <t>地代家賃</t>
  </si>
  <si>
    <t>リース料</t>
  </si>
  <si>
    <t>保険料</t>
  </si>
  <si>
    <t>租税公課</t>
  </si>
  <si>
    <t>支払報酬料</t>
  </si>
  <si>
    <t>減価償却費</t>
  </si>
  <si>
    <t>長期前払費用償却</t>
  </si>
  <si>
    <t>貸倒引当金繰入額(販)</t>
    <phoneticPr fontId="1"/>
  </si>
  <si>
    <t>雑費</t>
  </si>
  <si>
    <t>販売管理費計</t>
  </si>
  <si>
    <t>営業損益金額</t>
  </si>
  <si>
    <t>[営業外収益]</t>
  </si>
  <si>
    <t>受取利息</t>
  </si>
  <si>
    <t>貸倒引当金戻入額</t>
    <phoneticPr fontId="1"/>
  </si>
  <si>
    <t>雑収入</t>
  </si>
  <si>
    <t>営業外収益合計</t>
  </si>
  <si>
    <t>[営業外費用]</t>
  </si>
  <si>
    <t>支払利息</t>
  </si>
  <si>
    <t>雑損失</t>
  </si>
  <si>
    <t>営業外費用合計</t>
  </si>
  <si>
    <t>経常損益金額</t>
  </si>
  <si>
    <t>[特別利益]</t>
  </si>
  <si>
    <t>固定資産売却益</t>
  </si>
  <si>
    <t>特別利益合計</t>
  </si>
  <si>
    <t>[特別損失]</t>
  </si>
  <si>
    <t>固定資産売却損</t>
  </si>
  <si>
    <t>特別損失合計</t>
  </si>
  <si>
    <t>[当期純損益]</t>
  </si>
  <si>
    <t>税引前当期純損益金額</t>
  </si>
  <si>
    <t>法人税等</t>
  </si>
  <si>
    <r>
      <rPr>
        <sz val="10"/>
        <rFont val="游ゴシック"/>
        <family val="2"/>
        <charset val="129"/>
      </rPr>
      <t>계정과목</t>
    </r>
  </si>
  <si>
    <t>相手勘定科目</t>
  </si>
  <si>
    <r>
      <rPr>
        <sz val="10"/>
        <rFont val="游ゴシック"/>
        <family val="2"/>
        <charset val="129"/>
      </rPr>
      <t>상대계정과목</t>
    </r>
  </si>
  <si>
    <t>諸口</t>
  </si>
  <si>
    <r>
      <rPr>
        <sz val="10"/>
        <rFont val="游ゴシック"/>
        <family val="2"/>
        <charset val="129"/>
      </rPr>
      <t>제좌</t>
    </r>
  </si>
  <si>
    <r>
      <t>[</t>
    </r>
    <r>
      <rPr>
        <sz val="10"/>
        <rFont val="游ゴシック"/>
        <family val="2"/>
        <charset val="129"/>
      </rPr>
      <t>현금</t>
    </r>
    <r>
      <rPr>
        <sz val="10"/>
        <rFont val="Meiryo UI"/>
        <family val="3"/>
        <charset val="128"/>
      </rPr>
      <t>･</t>
    </r>
    <r>
      <rPr>
        <sz val="10"/>
        <rFont val="游ゴシック"/>
        <family val="2"/>
        <charset val="129"/>
      </rPr>
      <t>예금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</si>
  <si>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현금</t>
    </r>
  </si>
  <si>
    <r>
      <rPr>
        <sz val="10"/>
        <rFont val="游ゴシック"/>
        <family val="2"/>
        <charset val="129"/>
      </rPr>
      <t>보통예금</t>
    </r>
  </si>
  <si>
    <r>
      <rPr>
        <sz val="10"/>
        <rFont val="游ゴシック"/>
        <family val="2"/>
        <charset val="129"/>
      </rPr>
      <t>현금</t>
    </r>
    <r>
      <rPr>
        <sz val="10"/>
        <rFont val="Meiryo UI"/>
        <family val="3"/>
        <charset val="128"/>
      </rPr>
      <t xml:space="preserve"> ･</t>
    </r>
    <r>
      <rPr>
        <sz val="10"/>
        <rFont val="游ゴシック"/>
        <family val="2"/>
        <charset val="129"/>
      </rPr>
      <t>예금합계</t>
    </r>
  </si>
  <si>
    <r>
      <t>[</t>
    </r>
    <r>
      <rPr>
        <sz val="10"/>
        <rFont val="游ゴシック"/>
        <family val="2"/>
        <charset val="129"/>
      </rPr>
      <t>매출채권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</si>
  <si>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외상매출금</t>
    </r>
  </si>
  <si>
    <r>
      <rPr>
        <sz val="10"/>
        <rFont val="游ゴシック"/>
        <family val="2"/>
        <charset val="129"/>
      </rPr>
      <t>매출채권합계</t>
    </r>
  </si>
  <si>
    <r>
      <t>[</t>
    </r>
    <r>
      <rPr>
        <sz val="10"/>
        <rFont val="游ゴシック"/>
        <family val="2"/>
        <charset val="129"/>
      </rPr>
      <t>유가증권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</si>
  <si>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유가증권합계</t>
    </r>
  </si>
  <si>
    <r>
      <t>[</t>
    </r>
    <r>
      <rPr>
        <sz val="10"/>
        <rFont val="游ゴシック"/>
        <family val="2"/>
        <charset val="129"/>
      </rPr>
      <t>재고자산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</si>
  <si>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재고자산합계</t>
    </r>
  </si>
  <si>
    <r>
      <t>[</t>
    </r>
    <r>
      <rPr>
        <sz val="10"/>
        <rFont val="游ゴシック"/>
        <family val="2"/>
        <charset val="129"/>
      </rPr>
      <t>기타유동자산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</si>
  <si>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선급비용</t>
    </r>
  </si>
  <si>
    <r>
      <rPr>
        <sz val="10"/>
        <rFont val="游ゴシック"/>
        <family val="2"/>
        <charset val="129"/>
      </rPr>
      <t>미수입금</t>
    </r>
  </si>
  <si>
    <r>
      <rPr>
        <sz val="10"/>
        <rFont val="游ゴシック"/>
        <family val="2"/>
        <charset val="129"/>
      </rPr>
      <t>가불소비세등</t>
    </r>
  </si>
  <si>
    <r>
      <rPr>
        <sz val="10"/>
        <rFont val="游ゴシック"/>
        <family val="2"/>
        <charset val="129"/>
      </rPr>
      <t>기타유동자산합계</t>
    </r>
  </si>
  <si>
    <r>
      <rPr>
        <sz val="10"/>
        <rFont val="游ゴシック"/>
        <family val="2"/>
        <charset val="129"/>
      </rPr>
      <t>유동자산합계</t>
    </r>
  </si>
  <si>
    <r>
      <t>[</t>
    </r>
    <r>
      <rPr>
        <sz val="10"/>
        <rFont val="游ゴシック"/>
        <family val="2"/>
        <charset val="129"/>
      </rPr>
      <t>유형고정자산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</si>
  <si>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유형고정자산계</t>
    </r>
  </si>
  <si>
    <r>
      <t>[</t>
    </r>
    <r>
      <rPr>
        <sz val="10"/>
        <rFont val="游ゴシック"/>
        <family val="2"/>
        <charset val="129"/>
      </rPr>
      <t>무형고정자산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</si>
  <si>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무형고정자산계</t>
    </r>
  </si>
  <si>
    <r>
      <t>[</t>
    </r>
    <r>
      <rPr>
        <sz val="10"/>
        <rFont val="游ゴシック"/>
        <family val="2"/>
        <charset val="129"/>
      </rPr>
      <t>투자기타자산</t>
    </r>
    <r>
      <rPr>
        <sz val="10"/>
        <rFont val="Meiryo UI"/>
        <family val="3"/>
        <charset val="128"/>
      </rPr>
      <t>]</t>
    </r>
  </si>
  <si>
    <t>敷金</t>
  </si>
  <si>
    <r>
      <rPr>
        <sz val="10"/>
        <rFont val="游ゴシック"/>
        <family val="2"/>
        <charset val="129"/>
      </rPr>
      <t>보증금</t>
    </r>
  </si>
  <si>
    <r>
      <rPr>
        <sz val="10"/>
        <rFont val="游ゴシック"/>
        <family val="2"/>
        <charset val="129"/>
      </rPr>
      <t>투자기타자산합계</t>
    </r>
  </si>
  <si>
    <r>
      <rPr>
        <sz val="10"/>
        <rFont val="游ゴシック"/>
        <family val="2"/>
        <charset val="129"/>
      </rPr>
      <t>고정자산합계</t>
    </r>
  </si>
  <si>
    <r>
      <t>[</t>
    </r>
    <r>
      <rPr>
        <sz val="10"/>
        <rFont val="游ゴシック"/>
        <family val="2"/>
        <charset val="129"/>
      </rPr>
      <t>이연자산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</si>
  <si>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이연자산합계</t>
    </r>
  </si>
  <si>
    <r>
      <t>[</t>
    </r>
    <r>
      <rPr>
        <sz val="10"/>
        <rFont val="游ゴシック"/>
        <family val="2"/>
        <charset val="129"/>
      </rPr>
      <t>제좌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</si>
  <si>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자산합계</t>
    </r>
  </si>
  <si>
    <r>
      <t>[</t>
    </r>
    <r>
      <rPr>
        <sz val="10"/>
        <rFont val="游ゴシック"/>
        <family val="2"/>
        <charset val="129"/>
      </rPr>
      <t>매입채무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</si>
  <si>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외상매입금</t>
    </r>
  </si>
  <si>
    <r>
      <rPr>
        <sz val="10"/>
        <rFont val="游ゴシック"/>
        <family val="2"/>
        <charset val="129"/>
      </rPr>
      <t>매입채무합계</t>
    </r>
  </si>
  <si>
    <r>
      <t>[</t>
    </r>
    <r>
      <rPr>
        <sz val="10"/>
        <rFont val="游ゴシック"/>
        <family val="2"/>
        <charset val="129"/>
      </rPr>
      <t>기타유동부채</t>
    </r>
    <r>
      <rPr>
        <sz val="10"/>
        <rFont val="Meiryo UI"/>
        <family val="3"/>
        <charset val="128"/>
      </rPr>
      <t>]</t>
    </r>
  </si>
  <si>
    <t>短期借入金</t>
    <rPh sb="0" eb="5">
      <t>タンキカリイレキン</t>
    </rPh>
    <phoneticPr fontId="8"/>
  </si>
  <si>
    <r>
      <rPr>
        <sz val="10"/>
        <rFont val="游ゴシック"/>
        <family val="2"/>
        <charset val="129"/>
      </rPr>
      <t>단기차입금</t>
    </r>
  </si>
  <si>
    <r>
      <rPr>
        <sz val="10"/>
        <rFont val="游ゴシック"/>
        <family val="2"/>
        <charset val="129"/>
      </rPr>
      <t>미불금</t>
    </r>
  </si>
  <si>
    <r>
      <rPr>
        <sz val="10"/>
        <rFont val="游ゴシック"/>
        <family val="2"/>
        <charset val="129"/>
      </rPr>
      <t>미불비용</t>
    </r>
  </si>
  <si>
    <r>
      <rPr>
        <sz val="10"/>
        <rFont val="游ゴシック"/>
        <family val="2"/>
        <charset val="129"/>
      </rPr>
      <t>미불법인세등</t>
    </r>
  </si>
  <si>
    <r>
      <rPr>
        <sz val="10"/>
        <rFont val="游ゴシック"/>
        <family val="2"/>
        <charset val="129"/>
      </rPr>
      <t>가수금</t>
    </r>
  </si>
  <si>
    <r>
      <rPr>
        <sz val="10"/>
        <rFont val="游ゴシック"/>
        <family val="2"/>
        <charset val="129"/>
      </rPr>
      <t>예수금</t>
    </r>
  </si>
  <si>
    <r>
      <rPr>
        <sz val="10"/>
        <rFont val="游ゴシック"/>
        <family val="2"/>
        <charset val="129"/>
      </rPr>
      <t>기타유동부채합계</t>
    </r>
  </si>
  <si>
    <r>
      <rPr>
        <sz val="10"/>
        <rFont val="游ゴシック"/>
        <family val="2"/>
        <charset val="129"/>
      </rPr>
      <t>유동부채합계</t>
    </r>
  </si>
  <si>
    <r>
      <t>[</t>
    </r>
    <r>
      <rPr>
        <sz val="10"/>
        <rFont val="游ゴシック"/>
        <family val="2"/>
        <charset val="129"/>
      </rPr>
      <t>고정부채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</si>
  <si>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고정부채합계</t>
    </r>
  </si>
  <si>
    <r>
      <rPr>
        <sz val="10"/>
        <rFont val="游ゴシック"/>
        <family val="2"/>
        <charset val="129"/>
      </rPr>
      <t>부채합계</t>
    </r>
  </si>
  <si>
    <r>
      <t>[</t>
    </r>
    <r>
      <rPr>
        <sz val="10"/>
        <rFont val="游ゴシック"/>
        <family val="2"/>
        <charset val="129"/>
      </rPr>
      <t>자본금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</si>
  <si>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자본금</t>
    </r>
  </si>
  <si>
    <r>
      <rPr>
        <sz val="10"/>
        <rFont val="游ゴシック"/>
        <family val="2"/>
        <charset val="129"/>
      </rPr>
      <t>자본금합계</t>
    </r>
  </si>
  <si>
    <r>
      <t>[</t>
    </r>
    <r>
      <rPr>
        <sz val="10"/>
        <rFont val="游ゴシック"/>
        <family val="2"/>
        <charset val="129"/>
      </rPr>
      <t>신주발행준비금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</si>
  <si>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신주발행준비금합계</t>
    </r>
  </si>
  <si>
    <r>
      <t>[</t>
    </r>
    <r>
      <rPr>
        <sz val="10"/>
        <rFont val="游ゴシック"/>
        <family val="2"/>
        <charset val="129"/>
      </rPr>
      <t>자본금잉여금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</si>
  <si>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자본준비금합계</t>
    </r>
  </si>
  <si>
    <r>
      <rPr>
        <sz val="10"/>
        <rFont val="游ゴシック"/>
        <family val="2"/>
        <charset val="129"/>
      </rPr>
      <t>기타자본잉여금합계</t>
    </r>
  </si>
  <si>
    <r>
      <rPr>
        <sz val="10"/>
        <rFont val="游ゴシック"/>
        <family val="2"/>
        <charset val="129"/>
      </rPr>
      <t>자본잉여금</t>
    </r>
    <r>
      <rPr>
        <sz val="10"/>
        <rFont val="Meiryo UI"/>
        <family val="3"/>
        <charset val="128"/>
      </rPr>
      <t xml:space="preserve"> </t>
    </r>
    <r>
      <rPr>
        <sz val="10"/>
        <rFont val="游ゴシック"/>
        <family val="2"/>
        <charset val="129"/>
      </rPr>
      <t>합계</t>
    </r>
  </si>
  <si>
    <r>
      <t>[</t>
    </r>
    <r>
      <rPr>
        <sz val="10"/>
        <rFont val="游ゴシック"/>
        <family val="2"/>
        <charset val="129"/>
      </rPr>
      <t>이익잉여금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</si>
  <si>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이익준비금합계</t>
    </r>
  </si>
  <si>
    <r>
      <rPr>
        <sz val="10"/>
        <rFont val="游ゴシック"/>
        <family val="2"/>
        <charset val="129"/>
      </rPr>
      <t>임의적립금</t>
    </r>
    <r>
      <rPr>
        <sz val="10"/>
        <rFont val="Meiryo UI"/>
        <family val="3"/>
        <charset val="128"/>
      </rPr>
      <t xml:space="preserve"> </t>
    </r>
    <r>
      <rPr>
        <sz val="10"/>
        <rFont val="游ゴシック"/>
        <family val="2"/>
        <charset val="129"/>
      </rPr>
      <t>합계</t>
    </r>
  </si>
  <si>
    <r>
      <rPr>
        <sz val="10"/>
        <rFont val="游ゴシック"/>
        <family val="2"/>
        <charset val="129"/>
      </rPr>
      <t>이월이익</t>
    </r>
  </si>
  <si>
    <r>
      <rPr>
        <sz val="10"/>
        <rFont val="游ゴシック"/>
        <family val="2"/>
        <charset val="129"/>
      </rPr>
      <t>당기순손익금액</t>
    </r>
  </si>
  <si>
    <r>
      <rPr>
        <sz val="10"/>
        <rFont val="游ゴシック"/>
        <family val="2"/>
        <charset val="129"/>
      </rPr>
      <t>이월이익잉여금합계</t>
    </r>
  </si>
  <si>
    <r>
      <rPr>
        <sz val="10"/>
        <rFont val="游ゴシック"/>
        <family val="2"/>
        <charset val="129"/>
      </rPr>
      <t>기타이익잉여금합계</t>
    </r>
  </si>
  <si>
    <r>
      <rPr>
        <sz val="10"/>
        <rFont val="游ゴシック"/>
        <family val="2"/>
        <charset val="129"/>
      </rPr>
      <t>이익잉여금합계</t>
    </r>
  </si>
  <si>
    <r>
      <t>[</t>
    </r>
    <r>
      <rPr>
        <sz val="10"/>
        <rFont val="游ゴシック"/>
        <family val="2"/>
        <charset val="129"/>
      </rPr>
      <t>자기자본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</si>
  <si>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자기자본합계</t>
    </r>
  </si>
  <si>
    <r>
      <t>[</t>
    </r>
    <r>
      <rPr>
        <sz val="10"/>
        <rFont val="游ゴシック"/>
        <family val="2"/>
        <charset val="129"/>
      </rPr>
      <t>자기주식발행준비금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</si>
  <si>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자기주식발행준비금합계</t>
    </r>
  </si>
  <si>
    <r>
      <rPr>
        <sz val="10"/>
        <rFont val="游ゴシック"/>
        <family val="2"/>
        <charset val="129"/>
      </rPr>
      <t>주주자본합계</t>
    </r>
  </si>
  <si>
    <r>
      <t>[</t>
    </r>
    <r>
      <rPr>
        <sz val="10"/>
        <rFont val="游ゴシック"/>
        <family val="2"/>
        <charset val="129"/>
      </rPr>
      <t>평가</t>
    </r>
    <r>
      <rPr>
        <sz val="10"/>
        <rFont val="Meiryo UI"/>
        <family val="3"/>
        <charset val="128"/>
      </rPr>
      <t>･</t>
    </r>
    <r>
      <rPr>
        <sz val="10"/>
        <rFont val="游ゴシック"/>
        <family val="2"/>
        <charset val="129"/>
      </rPr>
      <t>환산차액등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</si>
  <si>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평가</t>
    </r>
    <r>
      <rPr>
        <sz val="10"/>
        <rFont val="Meiryo UI"/>
        <family val="3"/>
        <charset val="128"/>
      </rPr>
      <t>･</t>
    </r>
    <r>
      <rPr>
        <sz val="10"/>
        <rFont val="游ゴシック"/>
        <family val="2"/>
        <charset val="129"/>
      </rPr>
      <t>환산차액등합계</t>
    </r>
  </si>
  <si>
    <r>
      <t>[</t>
    </r>
    <r>
      <rPr>
        <sz val="10"/>
        <rFont val="游ゴシック"/>
        <family val="2"/>
        <charset val="129"/>
      </rPr>
      <t>신주예약권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</si>
  <si>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신주예약권합계</t>
    </r>
  </si>
  <si>
    <r>
      <rPr>
        <sz val="10"/>
        <rFont val="游ゴシック"/>
        <family val="2"/>
        <charset val="129"/>
      </rPr>
      <t>순자산합계</t>
    </r>
  </si>
  <si>
    <r>
      <rPr>
        <sz val="10"/>
        <rFont val="游ゴシック"/>
        <family val="2"/>
        <charset val="129"/>
      </rPr>
      <t>부채</t>
    </r>
    <r>
      <rPr>
        <sz val="10"/>
        <rFont val="Meiryo UI"/>
        <family val="3"/>
        <charset val="128"/>
      </rPr>
      <t>･</t>
    </r>
    <r>
      <rPr>
        <sz val="10"/>
        <rFont val="游ゴシック"/>
        <family val="2"/>
        <charset val="129"/>
      </rPr>
      <t>순자산합계</t>
    </r>
  </si>
  <si>
    <r>
      <t>[</t>
    </r>
    <r>
      <rPr>
        <sz val="10"/>
        <rFont val="游ゴシック"/>
        <family val="2"/>
        <charset val="129"/>
      </rPr>
      <t>매출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</si>
  <si>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매출</t>
    </r>
  </si>
  <si>
    <r>
      <rPr>
        <sz val="10"/>
        <rFont val="游ゴシック"/>
        <family val="2"/>
        <charset val="129"/>
      </rPr>
      <t>매출합계</t>
    </r>
  </si>
  <si>
    <r>
      <t>[</t>
    </r>
    <r>
      <rPr>
        <sz val="10"/>
        <rFont val="游ゴシック"/>
        <family val="2"/>
        <charset val="129"/>
      </rPr>
      <t>매출원가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</si>
  <si>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기초상품재고액</t>
    </r>
  </si>
  <si>
    <r>
      <rPr>
        <sz val="10"/>
        <rFont val="游ゴシック"/>
        <family val="2"/>
        <charset val="129"/>
      </rPr>
      <t>매입</t>
    </r>
  </si>
  <si>
    <r>
      <rPr>
        <sz val="10"/>
        <rFont val="游ゴシック"/>
        <family val="2"/>
        <charset val="129"/>
      </rPr>
      <t>당기상품매입액</t>
    </r>
  </si>
  <si>
    <r>
      <rPr>
        <sz val="10"/>
        <rFont val="游ゴシック"/>
        <family val="2"/>
        <charset val="129"/>
      </rPr>
      <t>합계</t>
    </r>
  </si>
  <si>
    <r>
      <rPr>
        <sz val="10"/>
        <rFont val="游ゴシック"/>
        <family val="2"/>
        <charset val="129"/>
      </rPr>
      <t>기말상품재고액</t>
    </r>
  </si>
  <si>
    <r>
      <rPr>
        <sz val="10"/>
        <rFont val="游ゴシック"/>
        <family val="2"/>
        <charset val="129"/>
      </rPr>
      <t>매출원가</t>
    </r>
  </si>
  <si>
    <r>
      <rPr>
        <sz val="10"/>
        <rFont val="游ゴシック"/>
        <family val="2"/>
        <charset val="129"/>
      </rPr>
      <t>매출총손익금액</t>
    </r>
  </si>
  <si>
    <r>
      <t>[</t>
    </r>
    <r>
      <rPr>
        <sz val="10"/>
        <rFont val="游ゴシック"/>
        <family val="2"/>
        <charset val="129"/>
      </rPr>
      <t>판매관리비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</si>
  <si>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임원보수</t>
    </r>
  </si>
  <si>
    <t>給与手当</t>
    <rPh sb="0" eb="2">
      <t>キュウヨ</t>
    </rPh>
    <rPh sb="2" eb="4">
      <t>テアテ</t>
    </rPh>
    <phoneticPr fontId="8"/>
  </si>
  <si>
    <r>
      <rPr>
        <sz val="10"/>
        <rFont val="游ゴシック"/>
        <family val="2"/>
        <charset val="129"/>
      </rPr>
      <t>급여수당</t>
    </r>
  </si>
  <si>
    <r>
      <rPr>
        <sz val="10"/>
        <rFont val="游ゴシック"/>
        <family val="2"/>
        <charset val="129"/>
      </rPr>
      <t>잡급</t>
    </r>
  </si>
  <si>
    <r>
      <rPr>
        <sz val="10"/>
        <rFont val="游ゴシック"/>
        <family val="2"/>
        <charset val="129"/>
      </rPr>
      <t>법정복리비</t>
    </r>
  </si>
  <si>
    <r>
      <rPr>
        <sz val="10"/>
        <rFont val="游ゴシック"/>
        <family val="2"/>
        <charset val="129"/>
      </rPr>
      <t>복리후생비</t>
    </r>
  </si>
  <si>
    <r>
      <rPr>
        <sz val="10"/>
        <rFont val="游ゴシック"/>
        <family val="2"/>
        <charset val="129"/>
      </rPr>
      <t>운반비</t>
    </r>
  </si>
  <si>
    <r>
      <rPr>
        <sz val="10"/>
        <rFont val="游ゴシック"/>
        <family val="2"/>
        <charset val="129"/>
      </rPr>
      <t>교제비</t>
    </r>
  </si>
  <si>
    <r>
      <rPr>
        <sz val="10"/>
        <rFont val="游ゴシック"/>
        <family val="2"/>
        <charset val="129"/>
      </rPr>
      <t>회의비</t>
    </r>
  </si>
  <si>
    <r>
      <rPr>
        <sz val="10"/>
        <rFont val="游ゴシック"/>
        <family val="2"/>
        <charset val="129"/>
      </rPr>
      <t>여비교통비</t>
    </r>
  </si>
  <si>
    <r>
      <rPr>
        <sz val="10"/>
        <rFont val="游ゴシック"/>
        <family val="2"/>
        <charset val="129"/>
      </rPr>
      <t>통신비</t>
    </r>
  </si>
  <si>
    <t>消耗品費</t>
    <rPh sb="0" eb="2">
      <t>ショウモウ</t>
    </rPh>
    <rPh sb="2" eb="3">
      <t>ヒン</t>
    </rPh>
    <rPh sb="3" eb="4">
      <t>ヒ</t>
    </rPh>
    <phoneticPr fontId="8"/>
  </si>
  <si>
    <r>
      <rPr>
        <sz val="10"/>
        <rFont val="游ゴシック"/>
        <family val="2"/>
        <charset val="129"/>
      </rPr>
      <t>소모품비</t>
    </r>
  </si>
  <si>
    <t>事務用品費</t>
    <rPh sb="0" eb="2">
      <t>ジム</t>
    </rPh>
    <rPh sb="2" eb="4">
      <t>ヨウヒン</t>
    </rPh>
    <rPh sb="4" eb="5">
      <t>ヒ</t>
    </rPh>
    <phoneticPr fontId="8"/>
  </si>
  <si>
    <r>
      <rPr>
        <sz val="10"/>
        <rFont val="游ゴシック"/>
        <family val="2"/>
        <charset val="129"/>
      </rPr>
      <t>사무용품비</t>
    </r>
  </si>
  <si>
    <r>
      <rPr>
        <sz val="10"/>
        <rFont val="游ゴシック"/>
        <family val="2"/>
        <charset val="129"/>
      </rPr>
      <t>수도광열비</t>
    </r>
  </si>
  <si>
    <t>諸会費</t>
    <rPh sb="0" eb="3">
      <t>ショカイヒ</t>
    </rPh>
    <phoneticPr fontId="8"/>
  </si>
  <si>
    <r>
      <rPr>
        <sz val="10"/>
        <rFont val="游ゴシック"/>
        <family val="2"/>
        <charset val="129"/>
      </rPr>
      <t>제회비</t>
    </r>
  </si>
  <si>
    <r>
      <rPr>
        <sz val="10"/>
        <rFont val="游ゴシック"/>
        <family val="2"/>
        <charset val="129"/>
      </rPr>
      <t>지불수수료</t>
    </r>
  </si>
  <si>
    <r>
      <rPr>
        <sz val="10"/>
        <rFont val="游ゴシック"/>
        <family val="2"/>
        <charset val="129"/>
      </rPr>
      <t>차량비</t>
    </r>
  </si>
  <si>
    <r>
      <rPr>
        <sz val="10"/>
        <rFont val="游ゴシック"/>
        <family val="2"/>
        <charset val="129"/>
      </rPr>
      <t>지급임차료</t>
    </r>
  </si>
  <si>
    <t>賃借料</t>
  </si>
  <si>
    <r>
      <rPr>
        <sz val="10"/>
        <rFont val="游ゴシック"/>
        <family val="2"/>
        <charset val="129"/>
      </rPr>
      <t>임차료</t>
    </r>
  </si>
  <si>
    <r>
      <rPr>
        <sz val="10"/>
        <rFont val="游ゴシック"/>
        <family val="2"/>
        <charset val="129"/>
      </rPr>
      <t>보험료</t>
    </r>
  </si>
  <si>
    <t>租税公課</t>
    <rPh sb="0" eb="2">
      <t>ソゼイ</t>
    </rPh>
    <rPh sb="2" eb="4">
      <t>コウカ</t>
    </rPh>
    <phoneticPr fontId="8"/>
  </si>
  <si>
    <r>
      <rPr>
        <sz val="10"/>
        <rFont val="游ゴシック"/>
        <family val="2"/>
        <charset val="129"/>
      </rPr>
      <t>조세공과</t>
    </r>
  </si>
  <si>
    <r>
      <rPr>
        <sz val="10"/>
        <rFont val="游ゴシック"/>
        <family val="2"/>
        <charset val="129"/>
      </rPr>
      <t>지불보수료</t>
    </r>
  </si>
  <si>
    <t>減価償却費</t>
    <rPh sb="0" eb="5">
      <t>ゲンカショウキャクヒ</t>
    </rPh>
    <phoneticPr fontId="8"/>
  </si>
  <si>
    <r>
      <rPr>
        <sz val="10"/>
        <rFont val="游ゴシック"/>
        <family val="3"/>
        <charset val="129"/>
      </rPr>
      <t>감가상각비</t>
    </r>
  </si>
  <si>
    <t>雑費</t>
    <rPh sb="0" eb="1">
      <t>ザツ</t>
    </rPh>
    <rPh sb="1" eb="2">
      <t>ヒ</t>
    </rPh>
    <phoneticPr fontId="8"/>
  </si>
  <si>
    <r>
      <rPr>
        <sz val="10"/>
        <rFont val="游ゴシック"/>
        <family val="2"/>
        <charset val="129"/>
      </rPr>
      <t>잡비</t>
    </r>
  </si>
  <si>
    <r>
      <rPr>
        <sz val="10"/>
        <rFont val="游ゴシック"/>
        <family val="2"/>
        <charset val="129"/>
      </rPr>
      <t>판매관리비계</t>
    </r>
  </si>
  <si>
    <r>
      <rPr>
        <sz val="10"/>
        <rFont val="游ゴシック"/>
        <family val="2"/>
        <charset val="129"/>
      </rPr>
      <t>영업손익금액</t>
    </r>
  </si>
  <si>
    <r>
      <t>[</t>
    </r>
    <r>
      <rPr>
        <sz val="10"/>
        <rFont val="游ゴシック"/>
        <family val="2"/>
        <charset val="129"/>
      </rPr>
      <t>영업외수익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</si>
  <si>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이자수익</t>
    </r>
  </si>
  <si>
    <r>
      <rPr>
        <sz val="10"/>
        <rFont val="游ゴシック"/>
        <family val="2"/>
        <charset val="129"/>
      </rPr>
      <t>잡수익</t>
    </r>
  </si>
  <si>
    <r>
      <rPr>
        <sz val="10"/>
        <rFont val="游ゴシック"/>
        <family val="2"/>
        <charset val="129"/>
      </rPr>
      <t>영업외수익합계</t>
    </r>
  </si>
  <si>
    <r>
      <t>[</t>
    </r>
    <r>
      <rPr>
        <sz val="10"/>
        <rFont val="游ゴシック"/>
        <family val="2"/>
        <charset val="129"/>
      </rPr>
      <t>영업외비용</t>
    </r>
    <r>
      <rPr>
        <sz val="10"/>
        <rFont val="Meiryo UI"/>
        <family val="3"/>
        <charset val="128"/>
      </rPr>
      <t>]</t>
    </r>
  </si>
  <si>
    <t>雑損失</t>
    <rPh sb="0" eb="3">
      <t>ザツソンシツ</t>
    </rPh>
    <phoneticPr fontId="8"/>
  </si>
  <si>
    <r>
      <rPr>
        <sz val="10"/>
        <rFont val="游ゴシック"/>
        <family val="3"/>
        <charset val="129"/>
      </rPr>
      <t>잡손실</t>
    </r>
  </si>
  <si>
    <r>
      <rPr>
        <sz val="10"/>
        <rFont val="游ゴシック"/>
        <family val="2"/>
        <charset val="129"/>
      </rPr>
      <t>영업외비용합계</t>
    </r>
  </si>
  <si>
    <r>
      <rPr>
        <sz val="10"/>
        <rFont val="游ゴシック"/>
        <family val="2"/>
        <charset val="129"/>
      </rPr>
      <t>경상손익금액</t>
    </r>
  </si>
  <si>
    <r>
      <t>[</t>
    </r>
    <r>
      <rPr>
        <sz val="10"/>
        <rFont val="游ゴシック"/>
        <family val="2"/>
        <charset val="129"/>
      </rPr>
      <t>특별이익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</si>
  <si>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특별이익합계</t>
    </r>
  </si>
  <si>
    <r>
      <t>[</t>
    </r>
    <r>
      <rPr>
        <sz val="10"/>
        <rFont val="游ゴシック"/>
        <family val="2"/>
        <charset val="129"/>
      </rPr>
      <t>특별손익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</si>
  <si>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특별손실합계</t>
    </r>
  </si>
  <si>
    <r>
      <t>[</t>
    </r>
    <r>
      <rPr>
        <sz val="10"/>
        <rFont val="游ゴシック"/>
        <family val="2"/>
        <charset val="129"/>
      </rPr>
      <t>당기순손익</t>
    </r>
    <r>
      <rPr>
        <sz val="10"/>
        <rFont val="Meiryo UI"/>
        <family val="3"/>
        <charset val="128"/>
      </rPr>
      <t>]</t>
    </r>
  </si>
  <si>
    <r>
      <rPr>
        <sz val="10"/>
        <rFont val="游ゴシック"/>
        <family val="2"/>
        <charset val="129"/>
      </rPr>
      <t>법인세차감전순손익금액</t>
    </r>
  </si>
  <si>
    <r>
      <rPr>
        <sz val="10"/>
        <rFont val="游ゴシック"/>
        <family val="2"/>
        <charset val="129"/>
      </rPr>
      <t>법인세등</t>
    </r>
  </si>
  <si>
    <t>新聞図書費</t>
    <rPh sb="0" eb="2">
      <t>シンブン</t>
    </rPh>
    <rPh sb="2" eb="5">
      <t>トショヒ</t>
    </rPh>
    <phoneticPr fontId="8"/>
  </si>
  <si>
    <r>
      <rPr>
        <sz val="10"/>
        <rFont val="游ゴシック"/>
        <family val="2"/>
        <charset val="129"/>
      </rPr>
      <t>신문도서비</t>
    </r>
  </si>
  <si>
    <t>長期未払金</t>
    <rPh sb="0" eb="2">
      <t>チョウキ</t>
    </rPh>
    <rPh sb="2" eb="5">
      <t>ミハライキン</t>
    </rPh>
    <phoneticPr fontId="8"/>
  </si>
  <si>
    <r>
      <rPr>
        <sz val="10"/>
        <rFont val="游ゴシック"/>
        <family val="3"/>
        <charset val="128"/>
      </rPr>
      <t>장기미불금</t>
    </r>
  </si>
  <si>
    <r>
      <rPr>
        <sz val="10"/>
        <rFont val="游ゴシック"/>
        <family val="3"/>
        <charset val="128"/>
      </rPr>
      <t>소비세예수금</t>
    </r>
  </si>
  <si>
    <t>前受金</t>
    <rPh sb="0" eb="3">
      <t>マエウケキン</t>
    </rPh>
    <phoneticPr fontId="8"/>
  </si>
  <si>
    <r>
      <rPr>
        <sz val="10"/>
        <rFont val="游ゴシック"/>
        <family val="3"/>
        <charset val="128"/>
      </rPr>
      <t>전수금</t>
    </r>
  </si>
  <si>
    <t>附属設備</t>
    <rPh sb="0" eb="2">
      <t>フゾク</t>
    </rPh>
    <rPh sb="2" eb="4">
      <t>セツビ</t>
    </rPh>
    <phoneticPr fontId="8"/>
  </si>
  <si>
    <r>
      <rPr>
        <sz val="10"/>
        <rFont val="游ゴシック"/>
        <family val="2"/>
        <charset val="129"/>
      </rPr>
      <t>부속설비</t>
    </r>
  </si>
  <si>
    <t>車両運搬具</t>
    <rPh sb="0" eb="2">
      <t>シャリョウ</t>
    </rPh>
    <rPh sb="2" eb="4">
      <t>ウンパン</t>
    </rPh>
    <rPh sb="4" eb="5">
      <t>グ</t>
    </rPh>
    <phoneticPr fontId="8"/>
  </si>
  <si>
    <r>
      <rPr>
        <sz val="10"/>
        <rFont val="游ゴシック"/>
        <family val="2"/>
        <charset val="129"/>
      </rPr>
      <t>차량운반구</t>
    </r>
  </si>
  <si>
    <t>一括償却資産</t>
    <rPh sb="0" eb="2">
      <t>イッカツ</t>
    </rPh>
    <rPh sb="2" eb="4">
      <t>ショウキャク</t>
    </rPh>
    <rPh sb="4" eb="6">
      <t>シサン</t>
    </rPh>
    <phoneticPr fontId="8"/>
  </si>
  <si>
    <r>
      <rPr>
        <sz val="10"/>
        <rFont val="游ゴシック"/>
        <family val="2"/>
        <charset val="129"/>
      </rPr>
      <t>일괄상각자산</t>
    </r>
  </si>
  <si>
    <t>修繕費</t>
    <rPh sb="0" eb="3">
      <t>シュウゼンヒ</t>
    </rPh>
    <phoneticPr fontId="8"/>
  </si>
  <si>
    <r>
      <rPr>
        <sz val="10"/>
        <rFont val="游ゴシック"/>
        <family val="3"/>
        <charset val="128"/>
      </rPr>
      <t>수선비</t>
    </r>
  </si>
  <si>
    <t>給料手当</t>
    <rPh sb="0" eb="4">
      <t>キュウリョウテアテ</t>
    </rPh>
    <phoneticPr fontId="8"/>
  </si>
  <si>
    <r>
      <rPr>
        <sz val="10"/>
        <rFont val="游ゴシック"/>
        <family val="3"/>
        <charset val="128"/>
      </rPr>
      <t>급여수당</t>
    </r>
    <r>
      <rPr>
        <sz val="10"/>
        <rFont val="Meiryo UI"/>
        <family val="3"/>
        <charset val="128"/>
      </rPr>
      <t xml:space="preserve"> </t>
    </r>
  </si>
  <si>
    <r>
      <rPr>
        <sz val="10"/>
        <rFont val="游ゴシック"/>
        <family val="3"/>
        <charset val="128"/>
      </rPr>
      <t>상여</t>
    </r>
  </si>
  <si>
    <t>外注費</t>
    <rPh sb="0" eb="3">
      <t>ガイチュウヒ</t>
    </rPh>
    <phoneticPr fontId="8"/>
  </si>
  <si>
    <r>
      <rPr>
        <sz val="10"/>
        <rFont val="游ゴシック"/>
        <family val="3"/>
        <charset val="128"/>
      </rPr>
      <t>외주비</t>
    </r>
  </si>
  <si>
    <r>
      <rPr>
        <sz val="10"/>
        <color theme="1"/>
        <rFont val="游ゴシック"/>
        <family val="2"/>
        <charset val="129"/>
      </rPr>
      <t>장기차입금</t>
    </r>
  </si>
  <si>
    <r>
      <rPr>
        <sz val="10"/>
        <color theme="1"/>
        <rFont val="游ゴシック"/>
        <family val="2"/>
        <charset val="129"/>
      </rPr>
      <t>전도금</t>
    </r>
  </si>
  <si>
    <t>短期貸付金</t>
  </si>
  <si>
    <r>
      <rPr>
        <sz val="10"/>
        <color theme="1"/>
        <rFont val="游ゴシック"/>
        <family val="2"/>
        <charset val="129"/>
      </rPr>
      <t>단기대여금</t>
    </r>
  </si>
  <si>
    <r>
      <rPr>
        <sz val="10"/>
        <color theme="1"/>
        <rFont val="游ゴシック"/>
        <family val="2"/>
        <charset val="129"/>
      </rPr>
      <t>가불금</t>
    </r>
  </si>
  <si>
    <r>
      <rPr>
        <sz val="10"/>
        <color theme="1"/>
        <rFont val="游ゴシック"/>
        <family val="2"/>
        <charset val="129"/>
      </rPr>
      <t>감가상각누계액</t>
    </r>
  </si>
  <si>
    <r>
      <rPr>
        <sz val="10"/>
        <color theme="1"/>
        <rFont val="游ゴシック"/>
        <family val="2"/>
        <charset val="129"/>
      </rPr>
      <t>차입보증금</t>
    </r>
  </si>
  <si>
    <r>
      <rPr>
        <sz val="10"/>
        <color theme="1"/>
        <rFont val="游ゴシック"/>
        <family val="2"/>
        <charset val="129"/>
      </rPr>
      <t>장기선불비용</t>
    </r>
  </si>
  <si>
    <r>
      <rPr>
        <sz val="10"/>
        <color theme="1"/>
        <rFont val="游ゴシック"/>
        <family val="2"/>
        <charset val="129"/>
      </rPr>
      <t>리사이클</t>
    </r>
    <r>
      <rPr>
        <sz val="10"/>
        <color theme="1"/>
        <rFont val="Meiryo UI"/>
        <family val="3"/>
        <charset val="128"/>
      </rPr>
      <t xml:space="preserve"> </t>
    </r>
    <r>
      <rPr>
        <sz val="10"/>
        <color theme="1"/>
        <rFont val="游ゴシック"/>
        <family val="2"/>
        <charset val="129"/>
      </rPr>
      <t>예탁금</t>
    </r>
  </si>
  <si>
    <r>
      <rPr>
        <sz val="10"/>
        <color theme="1"/>
        <rFont val="游ゴシック"/>
        <family val="2"/>
        <charset val="129"/>
      </rPr>
      <t>대손충당금</t>
    </r>
  </si>
  <si>
    <r>
      <rPr>
        <sz val="10"/>
        <color theme="1"/>
        <rFont val="游ゴシック"/>
        <family val="2"/>
        <charset val="129"/>
      </rPr>
      <t>상품</t>
    </r>
  </si>
  <si>
    <r>
      <rPr>
        <sz val="10"/>
        <color theme="1"/>
        <rFont val="游ゴシック"/>
        <family val="2"/>
        <charset val="129"/>
      </rPr>
      <t>매출환입</t>
    </r>
  </si>
  <si>
    <t>売上値引高</t>
  </si>
  <si>
    <r>
      <rPr>
        <sz val="10"/>
        <color theme="1"/>
        <rFont val="游ゴシック"/>
        <family val="2"/>
        <charset val="129"/>
      </rPr>
      <t>매출할인</t>
    </r>
  </si>
  <si>
    <r>
      <rPr>
        <sz val="10"/>
        <color theme="1"/>
        <rFont val="游ゴシック"/>
        <family val="2"/>
        <charset val="129"/>
      </rPr>
      <t>매입제비용</t>
    </r>
  </si>
  <si>
    <r>
      <rPr>
        <sz val="10"/>
        <color theme="1"/>
        <rFont val="游ゴシック"/>
        <family val="2"/>
        <charset val="129"/>
      </rPr>
      <t>타계정전환</t>
    </r>
  </si>
  <si>
    <r>
      <rPr>
        <sz val="10"/>
        <color theme="1"/>
        <rFont val="游ゴシック"/>
        <family val="2"/>
        <charset val="129"/>
      </rPr>
      <t>광고선전비</t>
    </r>
  </si>
  <si>
    <r>
      <rPr>
        <sz val="10"/>
        <color theme="1"/>
        <rFont val="游ゴシック"/>
        <family val="2"/>
        <charset val="129"/>
      </rPr>
      <t>판매촉진비</t>
    </r>
  </si>
  <si>
    <r>
      <rPr>
        <sz val="10"/>
        <color theme="1"/>
        <rFont val="游ゴシック"/>
        <family val="2"/>
        <charset val="129"/>
      </rPr>
      <t>리스료</t>
    </r>
  </si>
  <si>
    <r>
      <rPr>
        <sz val="10"/>
        <color theme="1"/>
        <rFont val="游ゴシック"/>
        <family val="2"/>
        <charset val="129"/>
      </rPr>
      <t>지급이자</t>
    </r>
  </si>
  <si>
    <t>為替差損</t>
  </si>
  <si>
    <r>
      <rPr>
        <sz val="10"/>
        <color theme="1"/>
        <rFont val="游ゴシック"/>
        <family val="2"/>
        <charset val="129"/>
      </rPr>
      <t>외환차손</t>
    </r>
  </si>
  <si>
    <r>
      <rPr>
        <sz val="10"/>
        <color theme="1"/>
        <rFont val="游ゴシック"/>
        <family val="2"/>
        <charset val="129"/>
      </rPr>
      <t>미불소비세</t>
    </r>
  </si>
  <si>
    <r>
      <rPr>
        <sz val="10"/>
        <color theme="1"/>
        <rFont val="游ゴシック"/>
        <family val="2"/>
        <charset val="129"/>
      </rPr>
      <t>공구기구비품</t>
    </r>
  </si>
  <si>
    <t>立替金</t>
    <rPh sb="0" eb="3">
      <t>タテカエキン</t>
    </rPh>
    <phoneticPr fontId="13"/>
  </si>
  <si>
    <r>
      <rPr>
        <sz val="10"/>
        <color theme="1"/>
        <rFont val="游ゴシック"/>
        <family val="2"/>
        <charset val="129"/>
      </rPr>
      <t>대지급금</t>
    </r>
  </si>
  <si>
    <t>長期貸付金</t>
    <rPh sb="0" eb="5">
      <t>チョウキカシツケキン</t>
    </rPh>
    <phoneticPr fontId="13"/>
  </si>
  <si>
    <r>
      <rPr>
        <sz val="10"/>
        <color theme="1"/>
        <rFont val="游ゴシック"/>
        <family val="2"/>
        <charset val="129"/>
      </rPr>
      <t>장기대여금</t>
    </r>
  </si>
  <si>
    <r>
      <rPr>
        <sz val="11"/>
        <color theme="1"/>
        <rFont val="Malgun Gothic"/>
        <family val="2"/>
        <charset val="129"/>
      </rPr>
      <t>고정자산매각익</t>
    </r>
    <phoneticPr fontId="13"/>
  </si>
  <si>
    <r>
      <rPr>
        <sz val="11"/>
        <color theme="1"/>
        <rFont val="Malgun Gothic"/>
        <family val="2"/>
        <charset val="129"/>
      </rPr>
      <t>고정자산매각손</t>
    </r>
    <phoneticPr fontId="13"/>
  </si>
  <si>
    <t>長期前払費用償却</t>
    <phoneticPr fontId="5"/>
  </si>
  <si>
    <t>장기선불비용상각</t>
    <phoneticPr fontId="5"/>
  </si>
  <si>
    <t>貸倒引当金戻入額</t>
    <phoneticPr fontId="5"/>
  </si>
  <si>
    <t>대손충당금 환입액</t>
    <phoneticPr fontId="5"/>
  </si>
  <si>
    <t>貸倒引当金繰入額(販)</t>
    <phoneticPr fontId="5"/>
  </si>
  <si>
    <r>
      <rPr>
        <sz val="11"/>
        <color theme="1"/>
        <rFont val="Malgun Gothic"/>
        <family val="2"/>
        <charset val="129"/>
      </rPr>
      <t>대손충당금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설정액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</si>
</sst>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* #,##0_ ;_ * \-#,##0_ ;_ * &quot;-&quot;_ ;_ @_ "/>
    <numFmt numFmtId="177" formatCode="0.00_ "/>
  </numFmts>
  <fonts count="21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游ゴシック"/>
      <family val="2"/>
      <charset val="129"/>
    </font>
    <font>
      <sz val="6"/>
      <name val="ＭＳ Ｐゴシック"/>
      <family val="3"/>
      <charset val="128"/>
    </font>
    <font>
      <sz val="10"/>
      <name val="游ゴシック"/>
      <family val="3"/>
      <charset val="129"/>
    </font>
    <font>
      <sz val="10"/>
      <name val="游ゴシック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9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Malgun Gothic"/>
      <family val="2"/>
      <charset val="129"/>
    </font>
    <font>
      <sz val="11"/>
      <color theme="1"/>
      <name val="Malgun Gothic"/>
      <family val="3"/>
      <charset val="129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Calibri"/>
      <family val="2"/>
    </font>
    <font>
      <sz val="11"/>
      <color theme="1"/>
      <name val="游ゴシック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176" fontId="3" fillId="0" borderId="0" applyFill="0" applyBorder="0" applyAlignment="0" applyProtection="0"/>
    <xf numFmtId="0" fontId="6" fillId="0" borderId="0"/>
    <xf numFmtId="0" fontId="2" fillId="0" borderId="0"/>
  </cellStyleXfs>
  <cellXfs count="29">
    <xf numFmtId="0" fontId="0" fillId="0" borderId="0" xfId="0"/>
    <xf numFmtId="0" fontId="4" fillId="0" borderId="0" xfId="4" applyNumberFormat="1" applyFont="1" applyBorder="1" applyAlignment="1" applyProtection="1">
      <alignment horizontal="left" vertical="center"/>
    </xf>
    <xf numFmtId="0" fontId="4" fillId="0" borderId="0" xfId="5" applyFont="1" applyAlignment="1">
      <alignment horizontal="left" vertical="center"/>
    </xf>
    <xf numFmtId="0" fontId="4" fillId="0" borderId="0" xfId="4" applyNumberFormat="1" applyFont="1" applyAlignment="1">
      <alignment horizontal="left" vertical="center"/>
    </xf>
    <xf numFmtId="49" fontId="4" fillId="0" borderId="0" xfId="6" applyNumberFormat="1" applyFont="1" applyAlignment="1">
      <alignment horizontal="left" vertical="center"/>
    </xf>
    <xf numFmtId="0" fontId="4" fillId="0" borderId="0" xfId="4" applyNumberFormat="1" applyFont="1" applyFill="1" applyAlignment="1">
      <alignment horizontal="left" vertical="center"/>
    </xf>
    <xf numFmtId="38" fontId="4" fillId="0" borderId="1" xfId="4" applyNumberFormat="1" applyFont="1" applyBorder="1" applyAlignment="1">
      <alignment horizontal="left" vertical="center"/>
    </xf>
    <xf numFmtId="38" fontId="4" fillId="0" borderId="2" xfId="4" applyNumberFormat="1" applyFont="1" applyBorder="1" applyAlignment="1" applyProtection="1">
      <alignment horizontal="left" vertical="center"/>
    </xf>
    <xf numFmtId="0" fontId="4" fillId="0" borderId="1" xfId="4" applyNumberFormat="1" applyFont="1" applyBorder="1" applyAlignment="1">
      <alignment horizontal="left" vertical="center"/>
    </xf>
    <xf numFmtId="0" fontId="4" fillId="0" borderId="3" xfId="4" applyNumberFormat="1" applyFont="1" applyBorder="1" applyAlignment="1" applyProtection="1">
      <alignment horizontal="left" vertical="center"/>
    </xf>
    <xf numFmtId="0" fontId="4" fillId="0" borderId="0" xfId="4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6" fillId="0" borderId="0" xfId="0" applyFont="1"/>
    <xf numFmtId="49" fontId="17" fillId="0" borderId="0" xfId="1" applyNumberFormat="1" applyFont="1"/>
    <xf numFmtId="0" fontId="17" fillId="0" borderId="0" xfId="1" applyFont="1"/>
    <xf numFmtId="49" fontId="18" fillId="0" borderId="0" xfId="1" applyNumberFormat="1" applyFont="1" applyAlignment="1">
      <alignment horizontal="center"/>
    </xf>
    <xf numFmtId="177" fontId="17" fillId="0" borderId="0" xfId="1" applyNumberFormat="1" applyFont="1"/>
    <xf numFmtId="38" fontId="17" fillId="0" borderId="0" xfId="1" applyNumberFormat="1" applyFont="1"/>
    <xf numFmtId="0" fontId="18" fillId="0" borderId="0" xfId="1" applyFont="1" applyAlignment="1">
      <alignment horizontal="center"/>
    </xf>
    <xf numFmtId="0" fontId="15" fillId="0" borderId="0" xfId="0" applyFont="1"/>
    <xf numFmtId="0" fontId="20" fillId="0" borderId="0" xfId="0" applyFont="1"/>
    <xf numFmtId="49" fontId="17" fillId="2" borderId="0" xfId="1" applyNumberFormat="1" applyFont="1" applyFill="1"/>
    <xf numFmtId="0" fontId="18" fillId="2" borderId="0" xfId="1" applyFont="1" applyFill="1" applyAlignment="1">
      <alignment horizontal="center"/>
    </xf>
    <xf numFmtId="38" fontId="17" fillId="2" borderId="0" xfId="1" applyNumberFormat="1" applyFont="1" applyFill="1"/>
    <xf numFmtId="177" fontId="17" fillId="2" borderId="0" xfId="1" applyNumberFormat="1" applyFont="1" applyFill="1"/>
    <xf numFmtId="0" fontId="17" fillId="2" borderId="0" xfId="1" applyFont="1" applyFill="1"/>
  </cellXfs>
  <cellStyles count="7">
    <cellStyle name="Normal 1" xfId="1" xr:uid="{00000000-0005-0000-0000-000001000000}"/>
    <cellStyle name="Normal 2" xfId="2" xr:uid="{00000000-0005-0000-0000-000002000000}"/>
    <cellStyle name="Normal 3" xfId="3" xr:uid="{00000000-0005-0000-0000-000003000000}"/>
    <cellStyle name="표준" xfId="0" builtinId="0"/>
    <cellStyle name="標準 2" xfId="6" xr:uid="{209CC749-24E7-41AE-A1CD-11E770A996E1}"/>
    <cellStyle name="標準 37" xfId="5" xr:uid="{A34A3167-2A92-405D-B9ED-EA710DED527E}"/>
    <cellStyle name="桁区切り 7" xfId="4" xr:uid="{D04EF354-F962-4CFD-BB06-00ACBA605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IW95"/>
  <sheetViews>
    <sheetView zoomScaleNormal="100" workbookViewId="0">
      <pane xSplit="1" ySplit="6" topLeftCell="B7" activePane="bottomRight" state="frozen"/>
      <selection pane="bottomRight"/>
      <selection pane="bottomLeft" activeCell="A2" sqref="A2"/>
      <selection pane="topRight" activeCell="A2" sqref="A2"/>
    </sheetView>
  </sheetViews>
  <sheetFormatPr defaultRowHeight="15.75"/>
  <cols>
    <col min="1" max="1" width="30.625" style="17" bestFit="1" customWidth="1"/>
    <col min="2" max="2" width="30.625" style="17" customWidth="1"/>
    <col min="3" max="8" width="13.375" style="17" bestFit="1" customWidth="1"/>
    <col min="9" max="9" width="18.25" style="17" bestFit="1" customWidth="1"/>
    <col min="10" max="15" width="13.375" style="17" bestFit="1" customWidth="1"/>
    <col min="16" max="17" width="18.25" style="17" bestFit="1" customWidth="1"/>
    <col min="18" max="19" width="16" style="17" bestFit="1" customWidth="1"/>
    <col min="20" max="31" width="16.625" style="17" customWidth="1"/>
    <col min="32" max="32" width="9" style="17" customWidth="1"/>
    <col min="33" max="16384" width="9" style="17"/>
  </cols>
  <sheetData>
    <row r="1" spans="1:257">
      <c r="A1" s="16" t="s">
        <v>0</v>
      </c>
    </row>
    <row r="2" spans="1:257">
      <c r="A2" s="16"/>
    </row>
    <row r="3" spans="1:257">
      <c r="A3" s="16" t="s">
        <v>1</v>
      </c>
    </row>
    <row r="4" spans="1:257">
      <c r="A4" s="16" t="s">
        <v>2</v>
      </c>
    </row>
    <row r="5" spans="1:257">
      <c r="A5" s="16"/>
    </row>
    <row r="6" spans="1:257">
      <c r="A6" s="18" t="s">
        <v>3</v>
      </c>
      <c r="B6" s="21" t="str">
        <f>VLOOKUP(A6,Sheet1!$A$1:$B$242,2,FALSE)</f>
        <v>계정과목</v>
      </c>
      <c r="C6" s="18" t="s">
        <v>4</v>
      </c>
      <c r="D6" s="18" t="s">
        <v>5</v>
      </c>
      <c r="E6" s="18" t="s">
        <v>6</v>
      </c>
      <c r="F6" s="18" t="s">
        <v>7</v>
      </c>
      <c r="G6" s="18" t="s">
        <v>8</v>
      </c>
      <c r="H6" s="18" t="s">
        <v>9</v>
      </c>
      <c r="I6" s="18" t="s">
        <v>10</v>
      </c>
      <c r="J6" s="18" t="s">
        <v>11</v>
      </c>
      <c r="K6" s="18" t="s">
        <v>12</v>
      </c>
      <c r="L6" s="18" t="s">
        <v>13</v>
      </c>
      <c r="M6" s="18" t="s">
        <v>14</v>
      </c>
      <c r="N6" s="18" t="s">
        <v>15</v>
      </c>
      <c r="O6" s="18" t="s">
        <v>16</v>
      </c>
      <c r="P6" s="18" t="s">
        <v>17</v>
      </c>
      <c r="Q6" s="18" t="s">
        <v>18</v>
      </c>
      <c r="R6" s="18" t="s">
        <v>19</v>
      </c>
      <c r="S6" s="18" t="s">
        <v>20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</row>
    <row r="7" spans="1:257">
      <c r="A7" s="16" t="s">
        <v>21</v>
      </c>
      <c r="B7" s="21" t="str">
        <f>VLOOKUP(A7,Sheet1!$A$1:$B$242,2,FALSE)</f>
        <v>[현금･예금]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</row>
    <row r="8" spans="1:257">
      <c r="A8" s="16" t="s">
        <v>22</v>
      </c>
      <c r="B8" s="21" t="str">
        <f>VLOOKUP(A8,Sheet1!$A$1:$B$242,2,FALSE)</f>
        <v>현금</v>
      </c>
      <c r="C8" s="20">
        <v>129534</v>
      </c>
      <c r="D8" s="20">
        <v>80197</v>
      </c>
      <c r="E8" s="20">
        <v>252530</v>
      </c>
      <c r="F8" s="20">
        <v>228130</v>
      </c>
      <c r="G8" s="20">
        <v>254588</v>
      </c>
      <c r="H8" s="20">
        <v>98075</v>
      </c>
      <c r="I8" s="20">
        <v>98075</v>
      </c>
      <c r="J8" s="20">
        <v>220062</v>
      </c>
      <c r="K8" s="20">
        <v>19207</v>
      </c>
      <c r="L8" s="20">
        <v>413805</v>
      </c>
      <c r="M8" s="20">
        <v>413805</v>
      </c>
      <c r="N8" s="20">
        <v>413805</v>
      </c>
      <c r="O8" s="20">
        <v>413805</v>
      </c>
      <c r="P8" s="20">
        <v>413805</v>
      </c>
      <c r="Q8" s="20">
        <v>413805</v>
      </c>
      <c r="R8" s="20">
        <v>413805</v>
      </c>
      <c r="S8" s="20">
        <v>413805</v>
      </c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</row>
    <row r="9" spans="1:257">
      <c r="A9" s="16" t="s">
        <v>23</v>
      </c>
      <c r="B9" s="21" t="str">
        <f>VLOOKUP(A9,Sheet1!$A$1:$B$242,2,FALSE)</f>
        <v>보통예금</v>
      </c>
      <c r="C9" s="20">
        <v>13780845</v>
      </c>
      <c r="D9" s="20">
        <v>10920496</v>
      </c>
      <c r="E9" s="20">
        <v>16156649</v>
      </c>
      <c r="F9" s="20">
        <v>22398432</v>
      </c>
      <c r="G9" s="20">
        <v>30896250</v>
      </c>
      <c r="H9" s="20">
        <v>24328317</v>
      </c>
      <c r="I9" s="20">
        <v>24328317</v>
      </c>
      <c r="J9" s="20">
        <v>41514483</v>
      </c>
      <c r="K9" s="20">
        <v>46556239</v>
      </c>
      <c r="L9" s="20">
        <v>49866189</v>
      </c>
      <c r="M9" s="20">
        <v>49866189</v>
      </c>
      <c r="N9" s="20">
        <v>49866189</v>
      </c>
      <c r="O9" s="20">
        <v>49866189</v>
      </c>
      <c r="P9" s="20">
        <v>49866189</v>
      </c>
      <c r="Q9" s="20">
        <v>49866189</v>
      </c>
      <c r="R9" s="20">
        <v>49866189</v>
      </c>
      <c r="S9" s="20">
        <v>49866189</v>
      </c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</row>
    <row r="10" spans="1:257">
      <c r="A10" s="16" t="s">
        <v>24</v>
      </c>
      <c r="B10" s="21" t="str">
        <f>VLOOKUP(A10,Sheet1!$A$1:$B$242,2,FALSE)</f>
        <v>현금 ･예금합계</v>
      </c>
      <c r="C10" s="20">
        <v>13910379</v>
      </c>
      <c r="D10" s="20">
        <v>11000693</v>
      </c>
      <c r="E10" s="20">
        <v>16409179</v>
      </c>
      <c r="F10" s="20">
        <v>22626562</v>
      </c>
      <c r="G10" s="20">
        <v>31150838</v>
      </c>
      <c r="H10" s="20">
        <v>24426392</v>
      </c>
      <c r="I10" s="20">
        <v>24426392</v>
      </c>
      <c r="J10" s="20">
        <v>41734545</v>
      </c>
      <c r="K10" s="20">
        <v>46575446</v>
      </c>
      <c r="L10" s="20">
        <v>50279994</v>
      </c>
      <c r="M10" s="20">
        <v>50279994</v>
      </c>
      <c r="N10" s="20">
        <v>50279994</v>
      </c>
      <c r="O10" s="20">
        <v>50279994</v>
      </c>
      <c r="P10" s="20">
        <v>50279994</v>
      </c>
      <c r="Q10" s="20">
        <v>50279994</v>
      </c>
      <c r="R10" s="20">
        <v>50279994</v>
      </c>
      <c r="S10" s="20">
        <v>50279994</v>
      </c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</row>
    <row r="11" spans="1:257">
      <c r="A11" s="16" t="s">
        <v>25</v>
      </c>
      <c r="B11" s="21" t="str">
        <f>VLOOKUP(A11,Sheet1!$A$1:$B$242,2,FALSE)</f>
        <v>[매출채권]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</row>
    <row r="12" spans="1:257">
      <c r="A12" s="16" t="s">
        <v>26</v>
      </c>
      <c r="B12" s="21" t="str">
        <f>VLOOKUP(A12,Sheet1!$A$1:$B$242,2,FALSE)</f>
        <v>외상매출금</v>
      </c>
      <c r="C12" s="20">
        <v>16474507</v>
      </c>
      <c r="D12" s="20">
        <v>18116551</v>
      </c>
      <c r="E12" s="20">
        <v>25087039</v>
      </c>
      <c r="F12" s="20">
        <v>22265770</v>
      </c>
      <c r="G12" s="20">
        <v>20381384</v>
      </c>
      <c r="H12" s="20">
        <v>35647802</v>
      </c>
      <c r="I12" s="20">
        <v>35647802</v>
      </c>
      <c r="J12" s="20">
        <v>26503906</v>
      </c>
      <c r="K12" s="20">
        <v>33157239</v>
      </c>
      <c r="L12" s="20">
        <v>50784726</v>
      </c>
      <c r="M12" s="20">
        <v>50784726</v>
      </c>
      <c r="N12" s="20">
        <v>50784726</v>
      </c>
      <c r="O12" s="20">
        <v>50784726</v>
      </c>
      <c r="P12" s="20">
        <v>50784726</v>
      </c>
      <c r="Q12" s="20">
        <v>50784726</v>
      </c>
      <c r="R12" s="20">
        <v>50784726</v>
      </c>
      <c r="S12" s="20">
        <v>50784726</v>
      </c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</row>
    <row r="13" spans="1:257">
      <c r="A13" s="16" t="s">
        <v>27</v>
      </c>
      <c r="B13" s="21" t="str">
        <f>VLOOKUP(A13,Sheet1!$A$1:$B$242,2,FALSE)</f>
        <v>대손충당금</v>
      </c>
      <c r="C13" s="20">
        <v>-206241</v>
      </c>
      <c r="D13" s="20">
        <v>-206241</v>
      </c>
      <c r="E13" s="20">
        <v>-206241</v>
      </c>
      <c r="F13" s="20">
        <v>-206241</v>
      </c>
      <c r="G13" s="20">
        <v>-206241</v>
      </c>
      <c r="H13" s="20">
        <v>-206241</v>
      </c>
      <c r="I13" s="20">
        <v>-206241</v>
      </c>
      <c r="J13" s="20">
        <v>-206241</v>
      </c>
      <c r="K13" s="20">
        <v>-206241</v>
      </c>
      <c r="L13" s="20">
        <v>-507847</v>
      </c>
      <c r="M13" s="20">
        <v>-507847</v>
      </c>
      <c r="N13" s="20">
        <v>-507847</v>
      </c>
      <c r="O13" s="20">
        <v>-507847</v>
      </c>
      <c r="P13" s="20">
        <v>-507847</v>
      </c>
      <c r="Q13" s="20">
        <v>-507847</v>
      </c>
      <c r="R13" s="20">
        <v>-507847</v>
      </c>
      <c r="S13" s="20">
        <v>-507847</v>
      </c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</row>
    <row r="14" spans="1:257">
      <c r="A14" s="16" t="s">
        <v>28</v>
      </c>
      <c r="B14" s="21" t="str">
        <f>VLOOKUP(A14,Sheet1!$A$1:$B$242,2,FALSE)</f>
        <v>매출채권합계</v>
      </c>
      <c r="C14" s="20">
        <v>16268266</v>
      </c>
      <c r="D14" s="20">
        <v>17910310</v>
      </c>
      <c r="E14" s="20">
        <v>24880798</v>
      </c>
      <c r="F14" s="20">
        <v>22059529</v>
      </c>
      <c r="G14" s="20">
        <v>20175143</v>
      </c>
      <c r="H14" s="20">
        <v>35441561</v>
      </c>
      <c r="I14" s="20">
        <v>35441561</v>
      </c>
      <c r="J14" s="20">
        <v>26297665</v>
      </c>
      <c r="K14" s="20">
        <v>32950998</v>
      </c>
      <c r="L14" s="20">
        <v>50276879</v>
      </c>
      <c r="M14" s="20">
        <v>50276879</v>
      </c>
      <c r="N14" s="20">
        <v>50276879</v>
      </c>
      <c r="O14" s="20">
        <v>50276879</v>
      </c>
      <c r="P14" s="20">
        <v>50276879</v>
      </c>
      <c r="Q14" s="20">
        <v>50276879</v>
      </c>
      <c r="R14" s="20">
        <v>50276879</v>
      </c>
      <c r="S14" s="20">
        <v>50276879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</row>
    <row r="15" spans="1:257">
      <c r="A15" s="16" t="s">
        <v>29</v>
      </c>
      <c r="B15" s="21" t="str">
        <f>VLOOKUP(A15,Sheet1!$A$1:$B$242,2,FALSE)</f>
        <v>[유가증권]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</row>
    <row r="16" spans="1:257">
      <c r="A16" s="16" t="s">
        <v>30</v>
      </c>
      <c r="B16" s="21" t="str">
        <f>VLOOKUP(A16,Sheet1!$A$1:$B$242,2,FALSE)</f>
        <v>유가증권합계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</row>
    <row r="17" spans="1:257">
      <c r="A17" s="16" t="s">
        <v>31</v>
      </c>
      <c r="B17" s="21" t="str">
        <f>VLOOKUP(A17,Sheet1!$A$1:$B$242,2,FALSE)</f>
        <v>[재고자산]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</row>
    <row r="18" spans="1:257">
      <c r="A18" s="16" t="s">
        <v>32</v>
      </c>
      <c r="B18" s="21" t="str">
        <f>VLOOKUP(A18,Sheet1!$A$1:$B$242,2,FALSE)</f>
        <v>상품</v>
      </c>
      <c r="C18" s="20">
        <v>75443317</v>
      </c>
      <c r="D18" s="20">
        <v>72214523</v>
      </c>
      <c r="E18" s="20">
        <v>63829945</v>
      </c>
      <c r="F18" s="20">
        <v>68176813</v>
      </c>
      <c r="G18" s="20">
        <v>67522901</v>
      </c>
      <c r="H18" s="20">
        <v>47297814</v>
      </c>
      <c r="I18" s="20">
        <v>47297814</v>
      </c>
      <c r="J18" s="20">
        <v>58667847</v>
      </c>
      <c r="K18" s="20">
        <v>61842456</v>
      </c>
      <c r="L18" s="20">
        <v>72632874</v>
      </c>
      <c r="M18" s="20">
        <v>72632874</v>
      </c>
      <c r="N18" s="20">
        <v>72632874</v>
      </c>
      <c r="O18" s="20">
        <v>72632874</v>
      </c>
      <c r="P18" s="20">
        <v>72632874</v>
      </c>
      <c r="Q18" s="20">
        <v>72632874</v>
      </c>
      <c r="R18" s="20">
        <v>72632874</v>
      </c>
      <c r="S18" s="20">
        <v>72632874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</row>
    <row r="19" spans="1:257">
      <c r="A19" s="16" t="s">
        <v>33</v>
      </c>
      <c r="B19" s="21" t="str">
        <f>VLOOKUP(A19,Sheet1!$A$1:$B$242,2,FALSE)</f>
        <v>재고자산합계</v>
      </c>
      <c r="C19" s="20">
        <v>75443317</v>
      </c>
      <c r="D19" s="20">
        <v>72214523</v>
      </c>
      <c r="E19" s="20">
        <v>63829945</v>
      </c>
      <c r="F19" s="20">
        <v>68176813</v>
      </c>
      <c r="G19" s="20">
        <v>67522901</v>
      </c>
      <c r="H19" s="20">
        <v>47297814</v>
      </c>
      <c r="I19" s="20">
        <v>47297814</v>
      </c>
      <c r="J19" s="20">
        <v>58667847</v>
      </c>
      <c r="K19" s="20">
        <v>61842456</v>
      </c>
      <c r="L19" s="20">
        <v>72632874</v>
      </c>
      <c r="M19" s="20">
        <v>72632874</v>
      </c>
      <c r="N19" s="20">
        <v>72632874</v>
      </c>
      <c r="O19" s="20">
        <v>72632874</v>
      </c>
      <c r="P19" s="20">
        <v>72632874</v>
      </c>
      <c r="Q19" s="20">
        <v>72632874</v>
      </c>
      <c r="R19" s="20">
        <v>72632874</v>
      </c>
      <c r="S19" s="20">
        <v>72632874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</row>
    <row r="20" spans="1:257">
      <c r="A20" s="16" t="s">
        <v>34</v>
      </c>
      <c r="B20" s="21" t="str">
        <f>VLOOKUP(A20,Sheet1!$A$1:$B$242,2,FALSE)</f>
        <v>[기타유동자산]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</row>
    <row r="21" spans="1:257">
      <c r="A21" s="16" t="s">
        <v>35</v>
      </c>
      <c r="B21" s="21" t="str">
        <f>VLOOKUP(A21,Sheet1!$A$1:$B$242,2,FALSE)</f>
        <v>전도금</v>
      </c>
      <c r="C21" s="20">
        <v>270000</v>
      </c>
      <c r="D21" s="20">
        <v>270000</v>
      </c>
      <c r="E21" s="20">
        <v>4444616</v>
      </c>
      <c r="F21" s="20">
        <v>225000</v>
      </c>
      <c r="G21" s="20">
        <v>225000</v>
      </c>
      <c r="H21" s="20">
        <v>11610396</v>
      </c>
      <c r="I21" s="20">
        <v>11610396</v>
      </c>
      <c r="J21" s="20">
        <v>5398138</v>
      </c>
      <c r="K21" s="20">
        <v>217300</v>
      </c>
      <c r="L21" s="20">
        <v>14379902</v>
      </c>
      <c r="M21" s="20">
        <v>14379902</v>
      </c>
      <c r="N21" s="20">
        <v>14379902</v>
      </c>
      <c r="O21" s="20">
        <v>14379902</v>
      </c>
      <c r="P21" s="20">
        <v>14379902</v>
      </c>
      <c r="Q21" s="20">
        <v>14379902</v>
      </c>
      <c r="R21" s="20">
        <v>14379902</v>
      </c>
      <c r="S21" s="20">
        <v>14379902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</row>
    <row r="22" spans="1:257">
      <c r="A22" s="16" t="s">
        <v>36</v>
      </c>
      <c r="B22" s="21" t="str">
        <f>VLOOKUP(A22,Sheet1!$A$1:$B$242,2,FALSE)</f>
        <v>대지급금</v>
      </c>
      <c r="C22" s="20">
        <v>906748</v>
      </c>
      <c r="D22" s="20">
        <v>453374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</row>
    <row r="23" spans="1:257">
      <c r="A23" s="16" t="s">
        <v>37</v>
      </c>
      <c r="B23" s="21" t="str">
        <f>VLOOKUP(A23,Sheet1!$A$1:$B$242,2,FALSE)</f>
        <v>선급비용</v>
      </c>
      <c r="C23" s="20">
        <v>2194113</v>
      </c>
      <c r="D23" s="20">
        <v>2542344</v>
      </c>
      <c r="E23" s="20">
        <v>2569579</v>
      </c>
      <c r="F23" s="20">
        <v>2489570</v>
      </c>
      <c r="G23" s="20">
        <v>2448609</v>
      </c>
      <c r="H23" s="20">
        <v>2485724</v>
      </c>
      <c r="I23" s="20">
        <v>2485724</v>
      </c>
      <c r="J23" s="20">
        <v>2914357</v>
      </c>
      <c r="K23" s="20">
        <v>2062663</v>
      </c>
      <c r="L23" s="20">
        <v>1804553</v>
      </c>
      <c r="M23" s="20">
        <v>1804553</v>
      </c>
      <c r="N23" s="20">
        <v>1804553</v>
      </c>
      <c r="O23" s="20">
        <v>1804553</v>
      </c>
      <c r="P23" s="20">
        <v>1804553</v>
      </c>
      <c r="Q23" s="20">
        <v>1804553</v>
      </c>
      <c r="R23" s="20">
        <v>1804553</v>
      </c>
      <c r="S23" s="20">
        <v>1804553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</row>
    <row r="24" spans="1:257">
      <c r="A24" s="16" t="s">
        <v>38</v>
      </c>
      <c r="B24" s="21" t="str">
        <f>VLOOKUP(A24,Sheet1!$A$1:$B$242,2,FALSE)</f>
        <v>미수입금</v>
      </c>
      <c r="C24" s="20">
        <v>29802</v>
      </c>
      <c r="D24" s="20">
        <v>29802</v>
      </c>
      <c r="E24" s="20">
        <v>105432</v>
      </c>
      <c r="F24" s="20">
        <v>346774</v>
      </c>
      <c r="G24" s="20">
        <v>588118</v>
      </c>
      <c r="H24" s="20">
        <v>588742</v>
      </c>
      <c r="I24" s="20">
        <v>588742</v>
      </c>
      <c r="J24" s="20">
        <v>1712920</v>
      </c>
      <c r="K24" s="20">
        <v>916370</v>
      </c>
      <c r="L24" s="20">
        <v>309210</v>
      </c>
      <c r="M24" s="20">
        <v>309210</v>
      </c>
      <c r="N24" s="20">
        <v>309210</v>
      </c>
      <c r="O24" s="20">
        <v>309210</v>
      </c>
      <c r="P24" s="20">
        <v>309210</v>
      </c>
      <c r="Q24" s="20">
        <v>309210</v>
      </c>
      <c r="R24" s="20">
        <v>309210</v>
      </c>
      <c r="S24" s="20">
        <v>309210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</row>
    <row r="25" spans="1:257">
      <c r="A25" s="16" t="s">
        <v>39</v>
      </c>
      <c r="B25" s="21" t="str">
        <f>VLOOKUP(A25,Sheet1!$A$1:$B$242,2,FALSE)</f>
        <v>가불금</v>
      </c>
      <c r="C25" s="20">
        <v>0</v>
      </c>
      <c r="D25" s="20">
        <v>600000</v>
      </c>
      <c r="E25" s="20">
        <v>0</v>
      </c>
      <c r="F25" s="20">
        <v>0</v>
      </c>
      <c r="G25" s="20">
        <v>0</v>
      </c>
      <c r="H25" s="20">
        <v>3412100</v>
      </c>
      <c r="I25" s="20">
        <v>3412100</v>
      </c>
      <c r="J25" s="20">
        <v>3412100</v>
      </c>
      <c r="K25" s="20">
        <v>3412100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</row>
    <row r="26" spans="1:257">
      <c r="A26" s="16" t="s">
        <v>40</v>
      </c>
      <c r="B26" s="21" t="str">
        <f>VLOOKUP(A26,Sheet1!$A$1:$B$242,2,FALSE)</f>
        <v>가불소비세등</v>
      </c>
      <c r="C26" s="20">
        <v>2268151</v>
      </c>
      <c r="D26" s="20">
        <v>4056893</v>
      </c>
      <c r="E26" s="20">
        <v>6060352</v>
      </c>
      <c r="F26" s="20">
        <v>9067690</v>
      </c>
      <c r="G26" s="20">
        <v>11286037</v>
      </c>
      <c r="H26" s="20">
        <v>13209136</v>
      </c>
      <c r="I26" s="20">
        <v>13209136</v>
      </c>
      <c r="J26" s="20">
        <v>17574794</v>
      </c>
      <c r="K26" s="20">
        <v>21851603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</row>
    <row r="27" spans="1:257">
      <c r="A27" s="16" t="s">
        <v>41</v>
      </c>
      <c r="B27" s="21" t="str">
        <f>VLOOKUP(A27,Sheet1!$A$1:$B$242,2,FALSE)</f>
        <v>기타유동자산합계</v>
      </c>
      <c r="C27" s="20">
        <v>5668814</v>
      </c>
      <c r="D27" s="20">
        <v>7952413</v>
      </c>
      <c r="E27" s="20">
        <v>13179979</v>
      </c>
      <c r="F27" s="20">
        <v>12129034</v>
      </c>
      <c r="G27" s="20">
        <v>14547764</v>
      </c>
      <c r="H27" s="20">
        <v>31306098</v>
      </c>
      <c r="I27" s="20">
        <v>31306098</v>
      </c>
      <c r="J27" s="20">
        <v>31012309</v>
      </c>
      <c r="K27" s="20">
        <v>28460036</v>
      </c>
      <c r="L27" s="20">
        <v>16493665</v>
      </c>
      <c r="M27" s="20">
        <v>16493665</v>
      </c>
      <c r="N27" s="20">
        <v>16493665</v>
      </c>
      <c r="O27" s="20">
        <v>16493665</v>
      </c>
      <c r="P27" s="20">
        <v>16493665</v>
      </c>
      <c r="Q27" s="20">
        <v>16493665</v>
      </c>
      <c r="R27" s="20">
        <v>16493665</v>
      </c>
      <c r="S27" s="20">
        <v>16493665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19"/>
      <c r="IV27" s="19"/>
      <c r="IW27" s="19"/>
    </row>
    <row r="28" spans="1:257">
      <c r="A28" s="16" t="s">
        <v>42</v>
      </c>
      <c r="B28" s="21" t="str">
        <f>VLOOKUP(A28,Sheet1!$A$1:$B$242,2,FALSE)</f>
        <v>유동자산합계</v>
      </c>
      <c r="C28" s="20">
        <v>111290776</v>
      </c>
      <c r="D28" s="20">
        <v>109077939</v>
      </c>
      <c r="E28" s="20">
        <v>118299901</v>
      </c>
      <c r="F28" s="20">
        <v>124991938</v>
      </c>
      <c r="G28" s="20">
        <v>133396646</v>
      </c>
      <c r="H28" s="20">
        <v>138471865</v>
      </c>
      <c r="I28" s="20">
        <v>138471865</v>
      </c>
      <c r="J28" s="20">
        <v>157712366</v>
      </c>
      <c r="K28" s="20">
        <v>169828936</v>
      </c>
      <c r="L28" s="20">
        <v>189683412</v>
      </c>
      <c r="M28" s="20">
        <v>189683412</v>
      </c>
      <c r="N28" s="20">
        <v>189683412</v>
      </c>
      <c r="O28" s="20">
        <v>189683412</v>
      </c>
      <c r="P28" s="20">
        <v>189683412</v>
      </c>
      <c r="Q28" s="20">
        <v>189683412</v>
      </c>
      <c r="R28" s="20">
        <v>189683412</v>
      </c>
      <c r="S28" s="20">
        <v>189683412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  <c r="IW28" s="19"/>
    </row>
    <row r="29" spans="1:257">
      <c r="A29" s="16" t="s">
        <v>43</v>
      </c>
      <c r="B29" s="21" t="str">
        <f>VLOOKUP(A29,Sheet1!$A$1:$B$242,2,FALSE)</f>
        <v>[유형고정자산]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</row>
    <row r="30" spans="1:257">
      <c r="A30" s="16" t="s">
        <v>44</v>
      </c>
      <c r="B30" s="21" t="str">
        <f>VLOOKUP(A30,Sheet1!$A$1:$B$242,2,FALSE)</f>
        <v>차량운반구</v>
      </c>
      <c r="C30" s="20">
        <v>28073153</v>
      </c>
      <c r="D30" s="20">
        <v>28073153</v>
      </c>
      <c r="E30" s="20">
        <v>28073153</v>
      </c>
      <c r="F30" s="20">
        <v>28073153</v>
      </c>
      <c r="G30" s="20">
        <v>28073153</v>
      </c>
      <c r="H30" s="20">
        <v>28073153</v>
      </c>
      <c r="I30" s="20">
        <v>28073153</v>
      </c>
      <c r="J30" s="20">
        <v>26196619</v>
      </c>
      <c r="K30" s="20">
        <v>26196619</v>
      </c>
      <c r="L30" s="20">
        <v>26196619</v>
      </c>
      <c r="M30" s="20">
        <v>26196619</v>
      </c>
      <c r="N30" s="20">
        <v>26196619</v>
      </c>
      <c r="O30" s="20">
        <v>26196619</v>
      </c>
      <c r="P30" s="20">
        <v>26196619</v>
      </c>
      <c r="Q30" s="20">
        <v>26196619</v>
      </c>
      <c r="R30" s="20">
        <v>26196619</v>
      </c>
      <c r="S30" s="20">
        <v>26196619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</row>
    <row r="31" spans="1:257">
      <c r="A31" s="16" t="s">
        <v>45</v>
      </c>
      <c r="B31" s="21" t="str">
        <f>VLOOKUP(A31,Sheet1!$A$1:$B$242,2,FALSE)</f>
        <v>공구기구비품</v>
      </c>
      <c r="C31" s="20">
        <v>677164</v>
      </c>
      <c r="D31" s="20">
        <v>677164</v>
      </c>
      <c r="E31" s="20">
        <v>677164</v>
      </c>
      <c r="F31" s="20">
        <v>677164</v>
      </c>
      <c r="G31" s="20">
        <v>677164</v>
      </c>
      <c r="H31" s="20">
        <v>677164</v>
      </c>
      <c r="I31" s="20">
        <v>677164</v>
      </c>
      <c r="J31" s="20">
        <v>677164</v>
      </c>
      <c r="K31" s="20">
        <v>677164</v>
      </c>
      <c r="L31" s="20">
        <v>677164</v>
      </c>
      <c r="M31" s="20">
        <v>677164</v>
      </c>
      <c r="N31" s="20">
        <v>677164</v>
      </c>
      <c r="O31" s="20">
        <v>677164</v>
      </c>
      <c r="P31" s="20">
        <v>677164</v>
      </c>
      <c r="Q31" s="20">
        <v>677164</v>
      </c>
      <c r="R31" s="20">
        <v>677164</v>
      </c>
      <c r="S31" s="20">
        <v>677164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</row>
    <row r="32" spans="1:257">
      <c r="A32" s="16" t="s">
        <v>46</v>
      </c>
      <c r="B32" s="21" t="str">
        <f>VLOOKUP(A32,Sheet1!$A$1:$B$242,2,FALSE)</f>
        <v>일괄상각자산</v>
      </c>
      <c r="C32" s="20">
        <v>133722</v>
      </c>
      <c r="D32" s="20">
        <v>133722</v>
      </c>
      <c r="E32" s="20">
        <v>133722</v>
      </c>
      <c r="F32" s="20">
        <v>133722</v>
      </c>
      <c r="G32" s="20">
        <v>133722</v>
      </c>
      <c r="H32" s="20">
        <v>133722</v>
      </c>
      <c r="I32" s="20">
        <v>133722</v>
      </c>
      <c r="J32" s="20">
        <v>133722</v>
      </c>
      <c r="K32" s="20">
        <v>133722</v>
      </c>
      <c r="L32" s="20">
        <v>33431</v>
      </c>
      <c r="M32" s="20">
        <v>33431</v>
      </c>
      <c r="N32" s="20">
        <v>33431</v>
      </c>
      <c r="O32" s="20">
        <v>33431</v>
      </c>
      <c r="P32" s="20">
        <v>33431</v>
      </c>
      <c r="Q32" s="20">
        <v>33431</v>
      </c>
      <c r="R32" s="20">
        <v>33431</v>
      </c>
      <c r="S32" s="20">
        <v>33431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</row>
    <row r="33" spans="1:257">
      <c r="A33" s="16" t="s">
        <v>47</v>
      </c>
      <c r="B33" s="21" t="str">
        <f>VLOOKUP(A33,Sheet1!$A$1:$B$242,2,FALSE)</f>
        <v>감가상각누계액</v>
      </c>
      <c r="C33" s="20">
        <v>-20741624</v>
      </c>
      <c r="D33" s="20">
        <v>-20978378</v>
      </c>
      <c r="E33" s="20">
        <v>-21215132</v>
      </c>
      <c r="F33" s="20">
        <v>-21451886</v>
      </c>
      <c r="G33" s="20">
        <v>-21688640</v>
      </c>
      <c r="H33" s="20">
        <v>-21925394</v>
      </c>
      <c r="I33" s="20">
        <v>-21925394</v>
      </c>
      <c r="J33" s="20">
        <v>-20285615</v>
      </c>
      <c r="K33" s="20">
        <v>-20522369</v>
      </c>
      <c r="L33" s="20">
        <v>-20759138</v>
      </c>
      <c r="M33" s="20">
        <v>-20759138</v>
      </c>
      <c r="N33" s="20">
        <v>-20759138</v>
      </c>
      <c r="O33" s="20">
        <v>-20759138</v>
      </c>
      <c r="P33" s="20">
        <v>-20759138</v>
      </c>
      <c r="Q33" s="20">
        <v>-20759138</v>
      </c>
      <c r="R33" s="20">
        <v>-20759138</v>
      </c>
      <c r="S33" s="20">
        <v>-20759138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</row>
    <row r="34" spans="1:257">
      <c r="A34" s="16" t="s">
        <v>48</v>
      </c>
      <c r="B34" s="21" t="str">
        <f>VLOOKUP(A34,Sheet1!$A$1:$B$242,2,FALSE)</f>
        <v>유형고정자산계</v>
      </c>
      <c r="C34" s="20">
        <v>8142415</v>
      </c>
      <c r="D34" s="20">
        <v>7905661</v>
      </c>
      <c r="E34" s="20">
        <v>7668907</v>
      </c>
      <c r="F34" s="20">
        <v>7432153</v>
      </c>
      <c r="G34" s="20">
        <v>7195399</v>
      </c>
      <c r="H34" s="20">
        <v>6958645</v>
      </c>
      <c r="I34" s="20">
        <v>6958645</v>
      </c>
      <c r="J34" s="20">
        <v>6721890</v>
      </c>
      <c r="K34" s="20">
        <v>6485136</v>
      </c>
      <c r="L34" s="20">
        <v>6148076</v>
      </c>
      <c r="M34" s="20">
        <v>6148076</v>
      </c>
      <c r="N34" s="20">
        <v>6148076</v>
      </c>
      <c r="O34" s="20">
        <v>6148076</v>
      </c>
      <c r="P34" s="20">
        <v>6148076</v>
      </c>
      <c r="Q34" s="20">
        <v>6148076</v>
      </c>
      <c r="R34" s="20">
        <v>6148076</v>
      </c>
      <c r="S34" s="20">
        <v>6148076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</row>
    <row r="35" spans="1:257">
      <c r="A35" s="16" t="s">
        <v>49</v>
      </c>
      <c r="B35" s="21" t="str">
        <f>VLOOKUP(A35,Sheet1!$A$1:$B$242,2,FALSE)</f>
        <v>[무형고정자산]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  <c r="IU35" s="19"/>
      <c r="IV35" s="19"/>
      <c r="IW35" s="19"/>
    </row>
    <row r="36" spans="1:257">
      <c r="A36" s="16" t="s">
        <v>50</v>
      </c>
      <c r="B36" s="21" t="str">
        <f>VLOOKUP(A36,Sheet1!$A$1:$B$242,2,FALSE)</f>
        <v>무형고정자산계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  <c r="IS36" s="19"/>
      <c r="IT36" s="19"/>
      <c r="IU36" s="19"/>
      <c r="IV36" s="19"/>
      <c r="IW36" s="19"/>
    </row>
    <row r="37" spans="1:257">
      <c r="A37" s="16" t="s">
        <v>51</v>
      </c>
      <c r="B37" s="21" t="str">
        <f>VLOOKUP(A37,Sheet1!$A$1:$B$242,2,FALSE)</f>
        <v>[투자기타자산]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  <c r="IO37" s="19"/>
      <c r="IP37" s="19"/>
      <c r="IQ37" s="19"/>
      <c r="IR37" s="19"/>
      <c r="IS37" s="19"/>
      <c r="IT37" s="19"/>
      <c r="IU37" s="19"/>
      <c r="IV37" s="19"/>
      <c r="IW37" s="19"/>
    </row>
    <row r="38" spans="1:257">
      <c r="A38" s="16" t="s">
        <v>52</v>
      </c>
      <c r="B38" s="21" t="str">
        <f>VLOOKUP(A38,Sheet1!$A$1:$B$242,2,FALSE)</f>
        <v>차입보증금</v>
      </c>
      <c r="C38" s="20">
        <v>4658940</v>
      </c>
      <c r="D38" s="20">
        <v>4658940</v>
      </c>
      <c r="E38" s="20">
        <v>4658940</v>
      </c>
      <c r="F38" s="20">
        <v>4658940</v>
      </c>
      <c r="G38" s="20">
        <v>4702740</v>
      </c>
      <c r="H38" s="20">
        <v>4702740</v>
      </c>
      <c r="I38" s="20">
        <v>4702740</v>
      </c>
      <c r="J38" s="20">
        <v>6836046</v>
      </c>
      <c r="K38" s="20">
        <v>4436046</v>
      </c>
      <c r="L38" s="20">
        <v>4436046</v>
      </c>
      <c r="M38" s="20">
        <v>4436046</v>
      </c>
      <c r="N38" s="20">
        <v>4436046</v>
      </c>
      <c r="O38" s="20">
        <v>4436046</v>
      </c>
      <c r="P38" s="20">
        <v>4436046</v>
      </c>
      <c r="Q38" s="20">
        <v>4436046</v>
      </c>
      <c r="R38" s="20">
        <v>4436046</v>
      </c>
      <c r="S38" s="20">
        <v>4436046</v>
      </c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</row>
    <row r="39" spans="1:257">
      <c r="A39" s="16" t="s">
        <v>53</v>
      </c>
      <c r="B39" s="21" t="str">
        <f>VLOOKUP(A39,Sheet1!$A$1:$B$242,2,FALSE)</f>
        <v>장기대여금</v>
      </c>
      <c r="C39" s="20">
        <v>1000000</v>
      </c>
      <c r="D39" s="20">
        <v>1000000</v>
      </c>
      <c r="E39" s="20">
        <v>1000000</v>
      </c>
      <c r="F39" s="20">
        <v>1000000</v>
      </c>
      <c r="G39" s="20">
        <v>1000000</v>
      </c>
      <c r="H39" s="20">
        <v>1000000</v>
      </c>
      <c r="I39" s="20">
        <v>1000000</v>
      </c>
      <c r="J39" s="20">
        <v>1000000</v>
      </c>
      <c r="K39" s="20">
        <v>1000000</v>
      </c>
      <c r="L39" s="20">
        <v>8828000</v>
      </c>
      <c r="M39" s="20">
        <v>8828000</v>
      </c>
      <c r="N39" s="20">
        <v>8828000</v>
      </c>
      <c r="O39" s="20">
        <v>8828000</v>
      </c>
      <c r="P39" s="20">
        <v>8828000</v>
      </c>
      <c r="Q39" s="20">
        <v>8828000</v>
      </c>
      <c r="R39" s="20">
        <v>8828000</v>
      </c>
      <c r="S39" s="20">
        <v>8828000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  <c r="HM39" s="19"/>
      <c r="HN39" s="19"/>
      <c r="HO39" s="19"/>
      <c r="HP39" s="19"/>
      <c r="HQ39" s="19"/>
      <c r="HR39" s="19"/>
      <c r="HS39" s="19"/>
      <c r="HT39" s="19"/>
      <c r="HU39" s="19"/>
      <c r="HV39" s="19"/>
      <c r="HW39" s="19"/>
      <c r="HX39" s="19"/>
      <c r="HY39" s="19"/>
      <c r="HZ39" s="19"/>
      <c r="IA39" s="19"/>
      <c r="IB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</row>
    <row r="40" spans="1:257">
      <c r="A40" s="16" t="s">
        <v>54</v>
      </c>
      <c r="B40" s="21" t="str">
        <f>VLOOKUP(A40,Sheet1!$A$1:$B$242,2,FALSE)</f>
        <v>장기선불비용</v>
      </c>
      <c r="C40" s="20">
        <v>1393195</v>
      </c>
      <c r="D40" s="20">
        <v>1393195</v>
      </c>
      <c r="E40" s="20">
        <v>1393195</v>
      </c>
      <c r="F40" s="20">
        <v>1393195</v>
      </c>
      <c r="G40" s="20">
        <v>1393195</v>
      </c>
      <c r="H40" s="20">
        <v>1393195</v>
      </c>
      <c r="I40" s="20">
        <v>1393195</v>
      </c>
      <c r="J40" s="20">
        <v>1393195</v>
      </c>
      <c r="K40" s="20">
        <v>637368</v>
      </c>
      <c r="L40" s="20">
        <v>401500</v>
      </c>
      <c r="M40" s="20">
        <v>401500</v>
      </c>
      <c r="N40" s="20">
        <v>401500</v>
      </c>
      <c r="O40" s="20">
        <v>401500</v>
      </c>
      <c r="P40" s="20">
        <v>401500</v>
      </c>
      <c r="Q40" s="20">
        <v>401500</v>
      </c>
      <c r="R40" s="20">
        <v>401500</v>
      </c>
      <c r="S40" s="20">
        <v>401500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  <c r="IS40" s="19"/>
      <c r="IT40" s="19"/>
      <c r="IU40" s="19"/>
      <c r="IV40" s="19"/>
      <c r="IW40" s="19"/>
    </row>
    <row r="41" spans="1:257">
      <c r="A41" s="16" t="s">
        <v>55</v>
      </c>
      <c r="B41" s="21" t="str">
        <f>VLOOKUP(A41,Sheet1!$A$1:$B$242,2,FALSE)</f>
        <v>리사이클 예탁금</v>
      </c>
      <c r="C41" s="20">
        <v>67070</v>
      </c>
      <c r="D41" s="20">
        <v>67070</v>
      </c>
      <c r="E41" s="20">
        <v>67070</v>
      </c>
      <c r="F41" s="20">
        <v>67070</v>
      </c>
      <c r="G41" s="20">
        <v>67070</v>
      </c>
      <c r="H41" s="20">
        <v>67070</v>
      </c>
      <c r="I41" s="20">
        <v>67070</v>
      </c>
      <c r="J41" s="20">
        <v>58520</v>
      </c>
      <c r="K41" s="20">
        <v>58520</v>
      </c>
      <c r="L41" s="20">
        <v>58520</v>
      </c>
      <c r="M41" s="20">
        <v>58520</v>
      </c>
      <c r="N41" s="20">
        <v>58520</v>
      </c>
      <c r="O41" s="20">
        <v>58520</v>
      </c>
      <c r="P41" s="20">
        <v>58520</v>
      </c>
      <c r="Q41" s="20">
        <v>58520</v>
      </c>
      <c r="R41" s="20">
        <v>58520</v>
      </c>
      <c r="S41" s="20">
        <v>58520</v>
      </c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  <c r="IO41" s="19"/>
      <c r="IP41" s="19"/>
      <c r="IQ41" s="19"/>
      <c r="IR41" s="19"/>
      <c r="IS41" s="19"/>
      <c r="IT41" s="19"/>
      <c r="IU41" s="19"/>
      <c r="IV41" s="19"/>
      <c r="IW41" s="19"/>
    </row>
    <row r="42" spans="1:257">
      <c r="A42" s="16" t="s">
        <v>56</v>
      </c>
      <c r="B42" s="21" t="str">
        <f>VLOOKUP(A42,Sheet1!$A$1:$B$242,2,FALSE)</f>
        <v>투자기타자산합계</v>
      </c>
      <c r="C42" s="20">
        <v>7119205</v>
      </c>
      <c r="D42" s="20">
        <v>7119205</v>
      </c>
      <c r="E42" s="20">
        <v>7119205</v>
      </c>
      <c r="F42" s="20">
        <v>7119205</v>
      </c>
      <c r="G42" s="20">
        <v>7163005</v>
      </c>
      <c r="H42" s="20">
        <v>7163005</v>
      </c>
      <c r="I42" s="20">
        <v>7163005</v>
      </c>
      <c r="J42" s="20">
        <v>9287761</v>
      </c>
      <c r="K42" s="20">
        <v>6131934</v>
      </c>
      <c r="L42" s="20">
        <v>13724066</v>
      </c>
      <c r="M42" s="20">
        <v>13724066</v>
      </c>
      <c r="N42" s="20">
        <v>13724066</v>
      </c>
      <c r="O42" s="20">
        <v>13724066</v>
      </c>
      <c r="P42" s="20">
        <v>13724066</v>
      </c>
      <c r="Q42" s="20">
        <v>13724066</v>
      </c>
      <c r="R42" s="20">
        <v>13724066</v>
      </c>
      <c r="S42" s="20">
        <v>13724066</v>
      </c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  <c r="HT42" s="19"/>
      <c r="HU42" s="19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  <c r="IO42" s="19"/>
      <c r="IP42" s="19"/>
      <c r="IQ42" s="19"/>
      <c r="IR42" s="19"/>
      <c r="IS42" s="19"/>
      <c r="IT42" s="19"/>
      <c r="IU42" s="19"/>
      <c r="IV42" s="19"/>
      <c r="IW42" s="19"/>
    </row>
    <row r="43" spans="1:257">
      <c r="A43" s="16" t="s">
        <v>57</v>
      </c>
      <c r="B43" s="21" t="str">
        <f>VLOOKUP(A43,Sheet1!$A$1:$B$242,2,FALSE)</f>
        <v>고정자산합계</v>
      </c>
      <c r="C43" s="20">
        <v>15261620</v>
      </c>
      <c r="D43" s="20">
        <v>15024866</v>
      </c>
      <c r="E43" s="20">
        <v>14788112</v>
      </c>
      <c r="F43" s="20">
        <v>14551358</v>
      </c>
      <c r="G43" s="20">
        <v>14358404</v>
      </c>
      <c r="H43" s="20">
        <v>14121650</v>
      </c>
      <c r="I43" s="20">
        <v>14121650</v>
      </c>
      <c r="J43" s="20">
        <v>16009651</v>
      </c>
      <c r="K43" s="20">
        <v>12617070</v>
      </c>
      <c r="L43" s="20">
        <v>19872142</v>
      </c>
      <c r="M43" s="20">
        <v>19872142</v>
      </c>
      <c r="N43" s="20">
        <v>19872142</v>
      </c>
      <c r="O43" s="20">
        <v>19872142</v>
      </c>
      <c r="P43" s="20">
        <v>19872142</v>
      </c>
      <c r="Q43" s="20">
        <v>19872142</v>
      </c>
      <c r="R43" s="20">
        <v>19872142</v>
      </c>
      <c r="S43" s="20">
        <v>19872142</v>
      </c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  <c r="IO43" s="19"/>
      <c r="IP43" s="19"/>
      <c r="IQ43" s="19"/>
      <c r="IR43" s="19"/>
      <c r="IS43" s="19"/>
      <c r="IT43" s="19"/>
      <c r="IU43" s="19"/>
      <c r="IV43" s="19"/>
      <c r="IW43" s="19"/>
    </row>
    <row r="44" spans="1:257">
      <c r="A44" s="16" t="s">
        <v>58</v>
      </c>
      <c r="B44" s="21" t="str">
        <f>VLOOKUP(A44,Sheet1!$A$1:$B$242,2,FALSE)</f>
        <v>[이연자산]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  <c r="IO44" s="19"/>
      <c r="IP44" s="19"/>
      <c r="IQ44" s="19"/>
      <c r="IR44" s="19"/>
      <c r="IS44" s="19"/>
      <c r="IT44" s="19"/>
      <c r="IU44" s="19"/>
      <c r="IV44" s="19"/>
      <c r="IW44" s="19"/>
    </row>
    <row r="45" spans="1:257">
      <c r="A45" s="16" t="s">
        <v>59</v>
      </c>
      <c r="B45" s="21" t="str">
        <f>VLOOKUP(A45,Sheet1!$A$1:$B$242,2,FALSE)</f>
        <v>이연자산합계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</row>
    <row r="46" spans="1:257">
      <c r="A46" s="16" t="s">
        <v>60</v>
      </c>
      <c r="B46" s="21" t="str">
        <f>VLOOKUP(A46,Sheet1!$A$1:$B$242,2,FALSE)</f>
        <v>[제좌]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  <c r="IS46" s="19"/>
      <c r="IT46" s="19"/>
      <c r="IU46" s="19"/>
      <c r="IV46" s="19"/>
      <c r="IW46" s="19"/>
    </row>
    <row r="47" spans="1:257">
      <c r="A47" s="16" t="s">
        <v>61</v>
      </c>
      <c r="B47" s="21" t="str">
        <f>VLOOKUP(A47,Sheet1!$A$1:$B$242,2,FALSE)</f>
        <v>자산합계</v>
      </c>
      <c r="C47" s="20">
        <v>126552396</v>
      </c>
      <c r="D47" s="20">
        <v>124102805</v>
      </c>
      <c r="E47" s="20">
        <v>133088013</v>
      </c>
      <c r="F47" s="20">
        <v>139543296</v>
      </c>
      <c r="G47" s="20">
        <v>147755050</v>
      </c>
      <c r="H47" s="20">
        <v>152593515</v>
      </c>
      <c r="I47" s="20">
        <v>152593515</v>
      </c>
      <c r="J47" s="20">
        <v>173722017</v>
      </c>
      <c r="K47" s="20">
        <v>182446006</v>
      </c>
      <c r="L47" s="20">
        <v>209555554</v>
      </c>
      <c r="M47" s="20">
        <v>209555554</v>
      </c>
      <c r="N47" s="20">
        <v>209555554</v>
      </c>
      <c r="O47" s="20">
        <v>209555554</v>
      </c>
      <c r="P47" s="20">
        <v>209555554</v>
      </c>
      <c r="Q47" s="20">
        <v>209555554</v>
      </c>
      <c r="R47" s="20">
        <v>209555554</v>
      </c>
      <c r="S47" s="20">
        <v>209555554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</row>
    <row r="48" spans="1:257">
      <c r="A48" s="16" t="s">
        <v>62</v>
      </c>
      <c r="B48" s="21" t="str">
        <f>VLOOKUP(A48,Sheet1!$A$1:$B$242,2,FALSE)</f>
        <v>[매입채무]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9"/>
      <c r="IP48" s="19"/>
      <c r="IQ48" s="19"/>
      <c r="IR48" s="19"/>
      <c r="IS48" s="19"/>
      <c r="IT48" s="19"/>
      <c r="IU48" s="19"/>
      <c r="IV48" s="19"/>
      <c r="IW48" s="19"/>
    </row>
    <row r="49" spans="1:257">
      <c r="A49" s="16" t="s">
        <v>63</v>
      </c>
      <c r="B49" s="21" t="str">
        <f>VLOOKUP(A49,Sheet1!$A$1:$B$242,2,FALSE)</f>
        <v>외상매입금</v>
      </c>
      <c r="C49" s="20">
        <v>13016963</v>
      </c>
      <c r="D49" s="20">
        <v>6730638</v>
      </c>
      <c r="E49" s="20">
        <v>6353291</v>
      </c>
      <c r="F49" s="20">
        <v>7456393</v>
      </c>
      <c r="G49" s="20">
        <v>11299131</v>
      </c>
      <c r="H49" s="20">
        <v>5223005</v>
      </c>
      <c r="I49" s="20">
        <v>5223005</v>
      </c>
      <c r="J49" s="20">
        <v>11005255</v>
      </c>
      <c r="K49" s="20">
        <v>7227239</v>
      </c>
      <c r="L49" s="20">
        <v>18940470</v>
      </c>
      <c r="M49" s="20">
        <v>18940470</v>
      </c>
      <c r="N49" s="20">
        <v>18940470</v>
      </c>
      <c r="O49" s="20">
        <v>18940470</v>
      </c>
      <c r="P49" s="20">
        <v>18940470</v>
      </c>
      <c r="Q49" s="20">
        <v>18940470</v>
      </c>
      <c r="R49" s="20">
        <v>18940470</v>
      </c>
      <c r="S49" s="20">
        <v>18940470</v>
      </c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  <c r="IO49" s="19"/>
      <c r="IP49" s="19"/>
      <c r="IQ49" s="19"/>
      <c r="IR49" s="19"/>
      <c r="IS49" s="19"/>
      <c r="IT49" s="19"/>
      <c r="IU49" s="19"/>
      <c r="IV49" s="19"/>
      <c r="IW49" s="19"/>
    </row>
    <row r="50" spans="1:257">
      <c r="A50" s="16" t="s">
        <v>64</v>
      </c>
      <c r="B50" s="21" t="str">
        <f>VLOOKUP(A50,Sheet1!$A$1:$B$242,2,FALSE)</f>
        <v>매입채무합계</v>
      </c>
      <c r="C50" s="20">
        <v>13016963</v>
      </c>
      <c r="D50" s="20">
        <v>6730638</v>
      </c>
      <c r="E50" s="20">
        <v>6353291</v>
      </c>
      <c r="F50" s="20">
        <v>7456393</v>
      </c>
      <c r="G50" s="20">
        <v>11299131</v>
      </c>
      <c r="H50" s="20">
        <v>5223005</v>
      </c>
      <c r="I50" s="20">
        <v>5223005</v>
      </c>
      <c r="J50" s="20">
        <v>11005255</v>
      </c>
      <c r="K50" s="20">
        <v>7227239</v>
      </c>
      <c r="L50" s="20">
        <v>18940470</v>
      </c>
      <c r="M50" s="20">
        <v>18940470</v>
      </c>
      <c r="N50" s="20">
        <v>18940470</v>
      </c>
      <c r="O50" s="20">
        <v>18940470</v>
      </c>
      <c r="P50" s="20">
        <v>18940470</v>
      </c>
      <c r="Q50" s="20">
        <v>18940470</v>
      </c>
      <c r="R50" s="20">
        <v>18940470</v>
      </c>
      <c r="S50" s="20">
        <v>18940470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</row>
    <row r="51" spans="1:257">
      <c r="A51" s="16" t="s">
        <v>65</v>
      </c>
      <c r="B51" s="21" t="str">
        <f>VLOOKUP(A51,Sheet1!$A$1:$B$242,2,FALSE)</f>
        <v>[기타유동부채]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  <c r="IO51" s="19"/>
      <c r="IP51" s="19"/>
      <c r="IQ51" s="19"/>
      <c r="IR51" s="19"/>
      <c r="IS51" s="19"/>
      <c r="IT51" s="19"/>
      <c r="IU51" s="19"/>
      <c r="IV51" s="19"/>
      <c r="IW51" s="19"/>
    </row>
    <row r="52" spans="1:257">
      <c r="A52" s="16" t="s">
        <v>66</v>
      </c>
      <c r="B52" s="21" t="str">
        <f>VLOOKUP(A52,Sheet1!$A$1:$B$242,2,FALSE)</f>
        <v>단기차입금</v>
      </c>
      <c r="C52" s="20">
        <v>10864000</v>
      </c>
      <c r="D52" s="20">
        <v>9506000</v>
      </c>
      <c r="E52" s="20">
        <v>8148000</v>
      </c>
      <c r="F52" s="20">
        <v>6790000</v>
      </c>
      <c r="G52" s="20">
        <v>5432000</v>
      </c>
      <c r="H52" s="20">
        <v>4074000</v>
      </c>
      <c r="I52" s="20">
        <v>4074000</v>
      </c>
      <c r="J52" s="20">
        <v>2716000</v>
      </c>
      <c r="K52" s="20">
        <v>1358000</v>
      </c>
      <c r="L52" s="20">
        <v>34256000</v>
      </c>
      <c r="M52" s="20">
        <v>34256000</v>
      </c>
      <c r="N52" s="20">
        <v>34256000</v>
      </c>
      <c r="O52" s="20">
        <v>34256000</v>
      </c>
      <c r="P52" s="20">
        <v>34256000</v>
      </c>
      <c r="Q52" s="20">
        <v>34256000</v>
      </c>
      <c r="R52" s="20">
        <v>34256000</v>
      </c>
      <c r="S52" s="20">
        <v>34256000</v>
      </c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  <c r="IO52" s="19"/>
      <c r="IP52" s="19"/>
      <c r="IQ52" s="19"/>
      <c r="IR52" s="19"/>
      <c r="IS52" s="19"/>
      <c r="IT52" s="19"/>
      <c r="IU52" s="19"/>
      <c r="IV52" s="19"/>
      <c r="IW52" s="19"/>
    </row>
    <row r="53" spans="1:257">
      <c r="A53" s="16" t="s">
        <v>67</v>
      </c>
      <c r="B53" s="21" t="str">
        <f>VLOOKUP(A53,Sheet1!$A$1:$B$242,2,FALSE)</f>
        <v>미불금</v>
      </c>
      <c r="C53" s="20">
        <v>31686710</v>
      </c>
      <c r="D53" s="20">
        <v>30642815</v>
      </c>
      <c r="E53" s="20">
        <v>28252416</v>
      </c>
      <c r="F53" s="20">
        <v>24983068</v>
      </c>
      <c r="G53" s="20">
        <v>24506787</v>
      </c>
      <c r="H53" s="20">
        <v>21161103</v>
      </c>
      <c r="I53" s="20">
        <v>21161103</v>
      </c>
      <c r="J53" s="20">
        <v>20345226</v>
      </c>
      <c r="K53" s="20">
        <v>20972250</v>
      </c>
      <c r="L53" s="20">
        <v>32057622</v>
      </c>
      <c r="M53" s="20">
        <v>32057622</v>
      </c>
      <c r="N53" s="20">
        <v>32057622</v>
      </c>
      <c r="O53" s="20">
        <v>32057622</v>
      </c>
      <c r="P53" s="20">
        <v>32057622</v>
      </c>
      <c r="Q53" s="20">
        <v>32057622</v>
      </c>
      <c r="R53" s="20">
        <v>32057622</v>
      </c>
      <c r="S53" s="20">
        <v>32057622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9"/>
      <c r="IP53" s="19"/>
      <c r="IQ53" s="19"/>
      <c r="IR53" s="19"/>
      <c r="IS53" s="19"/>
      <c r="IT53" s="19"/>
      <c r="IU53" s="19"/>
      <c r="IV53" s="19"/>
      <c r="IW53" s="19"/>
    </row>
    <row r="54" spans="1:257">
      <c r="A54" s="16" t="s">
        <v>68</v>
      </c>
      <c r="B54" s="21" t="str">
        <f>VLOOKUP(A54,Sheet1!$A$1:$B$242,2,FALSE)</f>
        <v>미불비용</v>
      </c>
      <c r="C54" s="20">
        <v>4124473</v>
      </c>
      <c r="D54" s="20">
        <v>3869174</v>
      </c>
      <c r="E54" s="20">
        <v>3410592</v>
      </c>
      <c r="F54" s="20">
        <v>4237831</v>
      </c>
      <c r="G54" s="20">
        <v>4053033</v>
      </c>
      <c r="H54" s="20">
        <v>4020947</v>
      </c>
      <c r="I54" s="20">
        <v>4020947</v>
      </c>
      <c r="J54" s="20">
        <v>4082544</v>
      </c>
      <c r="K54" s="20">
        <v>4470580</v>
      </c>
      <c r="L54" s="20">
        <v>5191197</v>
      </c>
      <c r="M54" s="20">
        <v>5191197</v>
      </c>
      <c r="N54" s="20">
        <v>5191197</v>
      </c>
      <c r="O54" s="20">
        <v>5191197</v>
      </c>
      <c r="P54" s="20">
        <v>5191197</v>
      </c>
      <c r="Q54" s="20">
        <v>5191197</v>
      </c>
      <c r="R54" s="20">
        <v>5191197</v>
      </c>
      <c r="S54" s="20">
        <v>5191197</v>
      </c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</row>
    <row r="55" spans="1:257">
      <c r="A55" s="16" t="s">
        <v>69</v>
      </c>
      <c r="B55" s="21" t="str">
        <f>VLOOKUP(A55,Sheet1!$A$1:$B$242,2,FALSE)</f>
        <v>미불법인세등</v>
      </c>
      <c r="C55" s="20">
        <v>310000</v>
      </c>
      <c r="D55" s="20">
        <v>310000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210800</v>
      </c>
      <c r="M55" s="20">
        <v>210800</v>
      </c>
      <c r="N55" s="20">
        <v>210800</v>
      </c>
      <c r="O55" s="20">
        <v>210800</v>
      </c>
      <c r="P55" s="20">
        <v>210800</v>
      </c>
      <c r="Q55" s="20">
        <v>210800</v>
      </c>
      <c r="R55" s="20">
        <v>210800</v>
      </c>
      <c r="S55" s="20">
        <v>210800</v>
      </c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  <c r="IO55" s="19"/>
      <c r="IP55" s="19"/>
      <c r="IQ55" s="19"/>
      <c r="IR55" s="19"/>
      <c r="IS55" s="19"/>
      <c r="IT55" s="19"/>
      <c r="IU55" s="19"/>
      <c r="IV55" s="19"/>
      <c r="IW55" s="19"/>
    </row>
    <row r="56" spans="1:257">
      <c r="A56" s="16" t="s">
        <v>70</v>
      </c>
      <c r="B56" s="21" t="str">
        <f>VLOOKUP(A56,Sheet1!$A$1:$B$242,2,FALSE)</f>
        <v>미불소비세</v>
      </c>
      <c r="C56" s="20">
        <v>7388000</v>
      </c>
      <c r="D56" s="20">
        <v>7288000</v>
      </c>
      <c r="E56" s="20">
        <v>6488000</v>
      </c>
      <c r="F56" s="20">
        <v>5688000</v>
      </c>
      <c r="G56" s="20">
        <v>5400000</v>
      </c>
      <c r="H56" s="20">
        <v>4600000</v>
      </c>
      <c r="I56" s="20">
        <v>4600000</v>
      </c>
      <c r="J56" s="20">
        <v>3800000</v>
      </c>
      <c r="K56" s="20">
        <v>3600000</v>
      </c>
      <c r="L56" s="20">
        <v>15870600</v>
      </c>
      <c r="M56" s="20">
        <v>15870600</v>
      </c>
      <c r="N56" s="20">
        <v>15870600</v>
      </c>
      <c r="O56" s="20">
        <v>15870600</v>
      </c>
      <c r="P56" s="20">
        <v>15870600</v>
      </c>
      <c r="Q56" s="20">
        <v>15870600</v>
      </c>
      <c r="R56" s="20">
        <v>15870600</v>
      </c>
      <c r="S56" s="20">
        <v>15870600</v>
      </c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9"/>
      <c r="IB56" s="19"/>
      <c r="IC56" s="19"/>
      <c r="ID56" s="19"/>
      <c r="IE56" s="19"/>
      <c r="IF56" s="19"/>
      <c r="IG56" s="19"/>
      <c r="IH56" s="19"/>
      <c r="II56" s="19"/>
      <c r="IJ56" s="19"/>
      <c r="IK56" s="19"/>
      <c r="IL56" s="19"/>
      <c r="IM56" s="19"/>
      <c r="IN56" s="19"/>
      <c r="IO56" s="19"/>
      <c r="IP56" s="19"/>
      <c r="IQ56" s="19"/>
      <c r="IR56" s="19"/>
      <c r="IS56" s="19"/>
      <c r="IT56" s="19"/>
      <c r="IU56" s="19"/>
      <c r="IV56" s="19"/>
      <c r="IW56" s="19"/>
    </row>
    <row r="57" spans="1:257">
      <c r="A57" s="16" t="s">
        <v>71</v>
      </c>
      <c r="B57" s="21" t="str">
        <f>VLOOKUP(A57,Sheet1!$A$1:$B$242,2,FALSE)</f>
        <v>전수금</v>
      </c>
      <c r="C57" s="20">
        <v>0</v>
      </c>
      <c r="D57" s="20">
        <v>0</v>
      </c>
      <c r="E57" s="20">
        <v>0</v>
      </c>
      <c r="F57" s="20">
        <v>0</v>
      </c>
      <c r="G57" s="20">
        <v>96590</v>
      </c>
      <c r="H57" s="20">
        <v>69660</v>
      </c>
      <c r="I57" s="20">
        <v>69660</v>
      </c>
      <c r="J57" s="20">
        <v>54830</v>
      </c>
      <c r="K57" s="20">
        <v>53990</v>
      </c>
      <c r="L57" s="20">
        <v>52210</v>
      </c>
      <c r="M57" s="20">
        <v>52210</v>
      </c>
      <c r="N57" s="20">
        <v>52210</v>
      </c>
      <c r="O57" s="20">
        <v>52210</v>
      </c>
      <c r="P57" s="20">
        <v>52210</v>
      </c>
      <c r="Q57" s="20">
        <v>52210</v>
      </c>
      <c r="R57" s="20">
        <v>52210</v>
      </c>
      <c r="S57" s="20">
        <v>52210</v>
      </c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  <c r="IO57" s="19"/>
      <c r="IP57" s="19"/>
      <c r="IQ57" s="19"/>
      <c r="IR57" s="19"/>
      <c r="IS57" s="19"/>
      <c r="IT57" s="19"/>
      <c r="IU57" s="19"/>
      <c r="IV57" s="19"/>
      <c r="IW57" s="19"/>
    </row>
    <row r="58" spans="1:257">
      <c r="A58" s="16" t="s">
        <v>72</v>
      </c>
      <c r="B58" s="21" t="str">
        <f>VLOOKUP(A58,Sheet1!$A$1:$B$242,2,FALSE)</f>
        <v>예수금</v>
      </c>
      <c r="C58" s="20">
        <v>2623774</v>
      </c>
      <c r="D58" s="20">
        <v>2364598</v>
      </c>
      <c r="E58" s="20">
        <v>2207852</v>
      </c>
      <c r="F58" s="20">
        <v>2319349</v>
      </c>
      <c r="G58" s="20">
        <v>2732799</v>
      </c>
      <c r="H58" s="20">
        <v>2080450</v>
      </c>
      <c r="I58" s="20">
        <v>2080450</v>
      </c>
      <c r="J58" s="20">
        <v>2202876</v>
      </c>
      <c r="K58" s="20">
        <v>2088532</v>
      </c>
      <c r="L58" s="20">
        <v>1949202</v>
      </c>
      <c r="M58" s="20">
        <v>1949202</v>
      </c>
      <c r="N58" s="20">
        <v>1949202</v>
      </c>
      <c r="O58" s="20">
        <v>1949202</v>
      </c>
      <c r="P58" s="20">
        <v>1949202</v>
      </c>
      <c r="Q58" s="20">
        <v>1949202</v>
      </c>
      <c r="R58" s="20">
        <v>1949202</v>
      </c>
      <c r="S58" s="20">
        <v>1949202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  <c r="IO58" s="19"/>
      <c r="IP58" s="19"/>
      <c r="IQ58" s="19"/>
      <c r="IR58" s="19"/>
      <c r="IS58" s="19"/>
      <c r="IT58" s="19"/>
      <c r="IU58" s="19"/>
      <c r="IV58" s="19"/>
      <c r="IW58" s="19"/>
    </row>
    <row r="59" spans="1:257">
      <c r="A59" s="16" t="s">
        <v>73</v>
      </c>
      <c r="B59" s="21" t="str">
        <f>VLOOKUP(A59,Sheet1!$A$1:$B$242,2,FALSE)</f>
        <v>가수금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19"/>
      <c r="HF59" s="19"/>
      <c r="HG59" s="19"/>
      <c r="HH59" s="19"/>
      <c r="HI59" s="19"/>
      <c r="HJ59" s="19"/>
      <c r="HK59" s="19"/>
      <c r="HL59" s="19"/>
      <c r="HM59" s="19"/>
      <c r="HN59" s="19"/>
      <c r="HO59" s="19"/>
      <c r="HP59" s="19"/>
      <c r="HQ59" s="19"/>
      <c r="HR59" s="19"/>
      <c r="HS59" s="19"/>
      <c r="HT59" s="19"/>
      <c r="HU59" s="19"/>
      <c r="HV59" s="19"/>
      <c r="HW59" s="19"/>
      <c r="HX59" s="19"/>
      <c r="HY59" s="19"/>
      <c r="HZ59" s="19"/>
      <c r="IA59" s="19"/>
      <c r="IB59" s="19"/>
      <c r="IC59" s="19"/>
      <c r="ID59" s="19"/>
      <c r="IE59" s="19"/>
      <c r="IF59" s="19"/>
      <c r="IG59" s="19"/>
      <c r="IH59" s="19"/>
      <c r="II59" s="19"/>
      <c r="IJ59" s="19"/>
      <c r="IK59" s="19"/>
      <c r="IL59" s="19"/>
      <c r="IM59" s="19"/>
      <c r="IN59" s="19"/>
      <c r="IO59" s="19"/>
      <c r="IP59" s="19"/>
      <c r="IQ59" s="19"/>
      <c r="IR59" s="19"/>
      <c r="IS59" s="19"/>
      <c r="IT59" s="19"/>
      <c r="IU59" s="19"/>
      <c r="IV59" s="19"/>
      <c r="IW59" s="19"/>
    </row>
    <row r="60" spans="1:257">
      <c r="A60" s="16" t="s">
        <v>74</v>
      </c>
      <c r="B60" s="21" t="str">
        <f>VLOOKUP(A60,Sheet1!$A$1:$B$242,2,FALSE)</f>
        <v>소비세예수금</v>
      </c>
      <c r="C60" s="20">
        <v>3323416</v>
      </c>
      <c r="D60" s="20">
        <v>6820885</v>
      </c>
      <c r="E60" s="20">
        <v>11654311</v>
      </c>
      <c r="F60" s="20">
        <v>15849295</v>
      </c>
      <c r="G60" s="20">
        <v>19649218</v>
      </c>
      <c r="H60" s="20">
        <v>25787019</v>
      </c>
      <c r="I60" s="20">
        <v>25787019</v>
      </c>
      <c r="J60" s="20">
        <v>31398903</v>
      </c>
      <c r="K60" s="20">
        <v>37419146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  <c r="HN60" s="19"/>
      <c r="HO60" s="19"/>
      <c r="HP60" s="19"/>
      <c r="HQ60" s="19"/>
      <c r="HR60" s="19"/>
      <c r="HS60" s="19"/>
      <c r="HT60" s="19"/>
      <c r="HU60" s="19"/>
      <c r="HV60" s="19"/>
      <c r="HW60" s="19"/>
      <c r="HX60" s="19"/>
      <c r="HY60" s="19"/>
      <c r="HZ60" s="19"/>
      <c r="IA60" s="19"/>
      <c r="IB60" s="19"/>
      <c r="IC60" s="19"/>
      <c r="ID60" s="19"/>
      <c r="IE60" s="19"/>
      <c r="IF60" s="19"/>
      <c r="IG60" s="19"/>
      <c r="IH60" s="19"/>
      <c r="II60" s="19"/>
      <c r="IJ60" s="19"/>
      <c r="IK60" s="19"/>
      <c r="IL60" s="19"/>
      <c r="IM60" s="19"/>
      <c r="IN60" s="19"/>
      <c r="IO60" s="19"/>
      <c r="IP60" s="19"/>
      <c r="IQ60" s="19"/>
      <c r="IR60" s="19"/>
      <c r="IS60" s="19"/>
      <c r="IT60" s="19"/>
      <c r="IU60" s="19"/>
      <c r="IV60" s="19"/>
      <c r="IW60" s="19"/>
    </row>
    <row r="61" spans="1:257">
      <c r="A61" s="16" t="s">
        <v>75</v>
      </c>
      <c r="B61" s="21" t="str">
        <f>VLOOKUP(A61,Sheet1!$A$1:$B$242,2,FALSE)</f>
        <v>기타유동부채합계</v>
      </c>
      <c r="C61" s="20">
        <v>60320373</v>
      </c>
      <c r="D61" s="20">
        <v>60801472</v>
      </c>
      <c r="E61" s="20">
        <v>60161171</v>
      </c>
      <c r="F61" s="20">
        <v>59867543</v>
      </c>
      <c r="G61" s="20">
        <v>61870427</v>
      </c>
      <c r="H61" s="20">
        <v>61793179</v>
      </c>
      <c r="I61" s="20">
        <v>61793179</v>
      </c>
      <c r="J61" s="20">
        <v>64600379</v>
      </c>
      <c r="K61" s="20">
        <v>69962498</v>
      </c>
      <c r="L61" s="20">
        <v>89587631</v>
      </c>
      <c r="M61" s="20">
        <v>89587631</v>
      </c>
      <c r="N61" s="20">
        <v>89587631</v>
      </c>
      <c r="O61" s="20">
        <v>89587631</v>
      </c>
      <c r="P61" s="20">
        <v>89587631</v>
      </c>
      <c r="Q61" s="20">
        <v>89587631</v>
      </c>
      <c r="R61" s="20">
        <v>89587631</v>
      </c>
      <c r="S61" s="20">
        <v>89587631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19"/>
      <c r="HF61" s="19"/>
      <c r="HG61" s="19"/>
      <c r="HH61" s="19"/>
      <c r="HI61" s="19"/>
      <c r="HJ61" s="19"/>
      <c r="HK61" s="19"/>
      <c r="HL61" s="19"/>
      <c r="HM61" s="19"/>
      <c r="HN61" s="19"/>
      <c r="HO61" s="19"/>
      <c r="HP61" s="19"/>
      <c r="HQ61" s="19"/>
      <c r="HR61" s="19"/>
      <c r="HS61" s="19"/>
      <c r="HT61" s="19"/>
      <c r="HU61" s="19"/>
      <c r="HV61" s="19"/>
      <c r="HW61" s="19"/>
      <c r="HX61" s="19"/>
      <c r="HY61" s="19"/>
      <c r="HZ61" s="19"/>
      <c r="IA61" s="19"/>
      <c r="IB61" s="19"/>
      <c r="IC61" s="19"/>
      <c r="ID61" s="19"/>
      <c r="IE61" s="19"/>
      <c r="IF61" s="19"/>
      <c r="IG61" s="19"/>
      <c r="IH61" s="19"/>
      <c r="II61" s="19"/>
      <c r="IJ61" s="19"/>
      <c r="IK61" s="19"/>
      <c r="IL61" s="19"/>
      <c r="IM61" s="19"/>
      <c r="IN61" s="19"/>
      <c r="IO61" s="19"/>
      <c r="IP61" s="19"/>
      <c r="IQ61" s="19"/>
      <c r="IR61" s="19"/>
      <c r="IS61" s="19"/>
      <c r="IT61" s="19"/>
      <c r="IU61" s="19"/>
      <c r="IV61" s="19"/>
      <c r="IW61" s="19"/>
    </row>
    <row r="62" spans="1:257">
      <c r="A62" s="16" t="s">
        <v>76</v>
      </c>
      <c r="B62" s="21" t="str">
        <f>VLOOKUP(A62,Sheet1!$A$1:$B$242,2,FALSE)</f>
        <v>유동부채합계</v>
      </c>
      <c r="C62" s="20">
        <v>73337336</v>
      </c>
      <c r="D62" s="20">
        <v>67532110</v>
      </c>
      <c r="E62" s="20">
        <v>66514462</v>
      </c>
      <c r="F62" s="20">
        <v>67323936</v>
      </c>
      <c r="G62" s="20">
        <v>73169558</v>
      </c>
      <c r="H62" s="20">
        <v>67016184</v>
      </c>
      <c r="I62" s="20">
        <v>67016184</v>
      </c>
      <c r="J62" s="20">
        <v>75605634</v>
      </c>
      <c r="K62" s="20">
        <v>77189737</v>
      </c>
      <c r="L62" s="20">
        <v>108528101</v>
      </c>
      <c r="M62" s="20">
        <v>108528101</v>
      </c>
      <c r="N62" s="20">
        <v>108528101</v>
      </c>
      <c r="O62" s="20">
        <v>108528101</v>
      </c>
      <c r="P62" s="20">
        <v>108528101</v>
      </c>
      <c r="Q62" s="20">
        <v>108528101</v>
      </c>
      <c r="R62" s="20">
        <v>108528101</v>
      </c>
      <c r="S62" s="20">
        <v>108528101</v>
      </c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9"/>
      <c r="HK62" s="19"/>
      <c r="HL62" s="19"/>
      <c r="HM62" s="19"/>
      <c r="HN62" s="19"/>
      <c r="HO62" s="19"/>
      <c r="HP62" s="19"/>
      <c r="HQ62" s="19"/>
      <c r="HR62" s="19"/>
      <c r="HS62" s="19"/>
      <c r="HT62" s="19"/>
      <c r="HU62" s="19"/>
      <c r="HV62" s="19"/>
      <c r="HW62" s="19"/>
      <c r="HX62" s="19"/>
      <c r="HY62" s="19"/>
      <c r="HZ62" s="19"/>
      <c r="IA62" s="19"/>
      <c r="IB62" s="19"/>
      <c r="IC62" s="19"/>
      <c r="ID62" s="19"/>
      <c r="IE62" s="19"/>
      <c r="IF62" s="19"/>
      <c r="IG62" s="19"/>
      <c r="IH62" s="19"/>
      <c r="II62" s="19"/>
      <c r="IJ62" s="19"/>
      <c r="IK62" s="19"/>
      <c r="IL62" s="19"/>
      <c r="IM62" s="19"/>
      <c r="IN62" s="19"/>
      <c r="IO62" s="19"/>
      <c r="IP62" s="19"/>
      <c r="IQ62" s="19"/>
      <c r="IR62" s="19"/>
      <c r="IS62" s="19"/>
      <c r="IT62" s="19"/>
      <c r="IU62" s="19"/>
      <c r="IV62" s="19"/>
      <c r="IW62" s="19"/>
    </row>
    <row r="63" spans="1:257">
      <c r="A63" s="16" t="s">
        <v>77</v>
      </c>
      <c r="B63" s="21" t="str">
        <f>VLOOKUP(A63,Sheet1!$A$1:$B$242,2,FALSE)</f>
        <v>[고정부채]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  <c r="HN63" s="19"/>
      <c r="HO63" s="19"/>
      <c r="HP63" s="19"/>
      <c r="HQ63" s="19"/>
      <c r="HR63" s="19"/>
      <c r="HS63" s="19"/>
      <c r="HT63" s="19"/>
      <c r="HU63" s="19"/>
      <c r="HV63" s="19"/>
      <c r="HW63" s="19"/>
      <c r="HX63" s="19"/>
      <c r="HY63" s="19"/>
      <c r="HZ63" s="19"/>
      <c r="IA63" s="19"/>
      <c r="IB63" s="19"/>
      <c r="IC63" s="19"/>
      <c r="ID63" s="19"/>
      <c r="IE63" s="19"/>
      <c r="IF63" s="19"/>
      <c r="IG63" s="19"/>
      <c r="IH63" s="19"/>
      <c r="II63" s="19"/>
      <c r="IJ63" s="19"/>
      <c r="IK63" s="19"/>
      <c r="IL63" s="19"/>
      <c r="IM63" s="19"/>
      <c r="IN63" s="19"/>
      <c r="IO63" s="19"/>
      <c r="IP63" s="19"/>
      <c r="IQ63" s="19"/>
      <c r="IR63" s="19"/>
      <c r="IS63" s="19"/>
      <c r="IT63" s="19"/>
      <c r="IU63" s="19"/>
      <c r="IV63" s="19"/>
      <c r="IW63" s="19"/>
    </row>
    <row r="64" spans="1:257">
      <c r="A64" s="16" t="s">
        <v>78</v>
      </c>
      <c r="B64" s="21" t="str">
        <f>VLOOKUP(A64,Sheet1!$A$1:$B$242,2,FALSE)</f>
        <v>장기차입금</v>
      </c>
      <c r="C64" s="20">
        <v>41644000</v>
      </c>
      <c r="D64" s="20">
        <v>41644000</v>
      </c>
      <c r="E64" s="20">
        <v>41644000</v>
      </c>
      <c r="F64" s="20">
        <v>41644000</v>
      </c>
      <c r="G64" s="20">
        <v>41644000</v>
      </c>
      <c r="H64" s="20">
        <v>41644000</v>
      </c>
      <c r="I64" s="20">
        <v>41644000</v>
      </c>
      <c r="J64" s="20">
        <v>41644000</v>
      </c>
      <c r="K64" s="20">
        <v>41644000</v>
      </c>
      <c r="L64" s="20">
        <v>7388000</v>
      </c>
      <c r="M64" s="20">
        <v>7388000</v>
      </c>
      <c r="N64" s="20">
        <v>7388000</v>
      </c>
      <c r="O64" s="20">
        <v>7388000</v>
      </c>
      <c r="P64" s="20">
        <v>7388000</v>
      </c>
      <c r="Q64" s="20">
        <v>7388000</v>
      </c>
      <c r="R64" s="20">
        <v>7388000</v>
      </c>
      <c r="S64" s="20">
        <v>7388000</v>
      </c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A64" s="19"/>
      <c r="IB64" s="19"/>
      <c r="IC64" s="19"/>
      <c r="ID64" s="19"/>
      <c r="IE64" s="19"/>
      <c r="IF64" s="19"/>
      <c r="IG64" s="19"/>
      <c r="IH64" s="19"/>
      <c r="II64" s="19"/>
      <c r="IJ64" s="19"/>
      <c r="IK64" s="19"/>
      <c r="IL64" s="19"/>
      <c r="IM64" s="19"/>
      <c r="IN64" s="19"/>
      <c r="IO64" s="19"/>
      <c r="IP64" s="19"/>
      <c r="IQ64" s="19"/>
      <c r="IR64" s="19"/>
      <c r="IS64" s="19"/>
      <c r="IT64" s="19"/>
      <c r="IU64" s="19"/>
      <c r="IV64" s="19"/>
      <c r="IW64" s="19"/>
    </row>
    <row r="65" spans="1:257">
      <c r="A65" s="16" t="s">
        <v>79</v>
      </c>
      <c r="B65" s="21" t="str">
        <f>VLOOKUP(A65,Sheet1!$A$1:$B$242,2,FALSE)</f>
        <v>장기미불금</v>
      </c>
      <c r="C65" s="20">
        <v>10243027</v>
      </c>
      <c r="D65" s="20">
        <v>10243027</v>
      </c>
      <c r="E65" s="20">
        <v>10243027</v>
      </c>
      <c r="F65" s="20">
        <v>10243027</v>
      </c>
      <c r="G65" s="20">
        <v>10243027</v>
      </c>
      <c r="H65" s="20">
        <v>10243027</v>
      </c>
      <c r="I65" s="20">
        <v>10243027</v>
      </c>
      <c r="J65" s="20">
        <v>10243027</v>
      </c>
      <c r="K65" s="20">
        <v>10243027</v>
      </c>
      <c r="L65" s="20">
        <v>3624800</v>
      </c>
      <c r="M65" s="20">
        <v>3624800</v>
      </c>
      <c r="N65" s="20">
        <v>3624800</v>
      </c>
      <c r="O65" s="20">
        <v>3624800</v>
      </c>
      <c r="P65" s="20">
        <v>3624800</v>
      </c>
      <c r="Q65" s="20">
        <v>3624800</v>
      </c>
      <c r="R65" s="20">
        <v>3624800</v>
      </c>
      <c r="S65" s="20">
        <v>3624800</v>
      </c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  <c r="HN65" s="19"/>
      <c r="HO65" s="19"/>
      <c r="HP65" s="19"/>
      <c r="HQ65" s="19"/>
      <c r="HR65" s="19"/>
      <c r="HS65" s="19"/>
      <c r="HT65" s="19"/>
      <c r="HU65" s="19"/>
      <c r="HV65" s="19"/>
      <c r="HW65" s="19"/>
      <c r="HX65" s="19"/>
      <c r="HY65" s="19"/>
      <c r="HZ65" s="19"/>
      <c r="IA65" s="19"/>
      <c r="IB65" s="19"/>
      <c r="IC65" s="19"/>
      <c r="ID65" s="19"/>
      <c r="IE65" s="19"/>
      <c r="IF65" s="19"/>
      <c r="IG65" s="19"/>
      <c r="IH65" s="19"/>
      <c r="II65" s="19"/>
      <c r="IJ65" s="19"/>
      <c r="IK65" s="19"/>
      <c r="IL65" s="19"/>
      <c r="IM65" s="19"/>
      <c r="IN65" s="19"/>
      <c r="IO65" s="19"/>
      <c r="IP65" s="19"/>
      <c r="IQ65" s="19"/>
      <c r="IR65" s="19"/>
      <c r="IS65" s="19"/>
      <c r="IT65" s="19"/>
      <c r="IU65" s="19"/>
      <c r="IV65" s="19"/>
      <c r="IW65" s="19"/>
    </row>
    <row r="66" spans="1:257">
      <c r="A66" s="16" t="s">
        <v>80</v>
      </c>
      <c r="B66" s="21" t="str">
        <f>VLOOKUP(A66,Sheet1!$A$1:$B$242,2,FALSE)</f>
        <v>고정부채합계</v>
      </c>
      <c r="C66" s="20">
        <v>51887027</v>
      </c>
      <c r="D66" s="20">
        <v>51887027</v>
      </c>
      <c r="E66" s="20">
        <v>51887027</v>
      </c>
      <c r="F66" s="20">
        <v>51887027</v>
      </c>
      <c r="G66" s="20">
        <v>51887027</v>
      </c>
      <c r="H66" s="20">
        <v>51887027</v>
      </c>
      <c r="I66" s="20">
        <v>51887027</v>
      </c>
      <c r="J66" s="20">
        <v>51887027</v>
      </c>
      <c r="K66" s="20">
        <v>51887027</v>
      </c>
      <c r="L66" s="20">
        <v>11012800</v>
      </c>
      <c r="M66" s="20">
        <v>11012800</v>
      </c>
      <c r="N66" s="20">
        <v>11012800</v>
      </c>
      <c r="O66" s="20">
        <v>11012800</v>
      </c>
      <c r="P66" s="20">
        <v>11012800</v>
      </c>
      <c r="Q66" s="20">
        <v>11012800</v>
      </c>
      <c r="R66" s="20">
        <v>11012800</v>
      </c>
      <c r="S66" s="20">
        <v>11012800</v>
      </c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  <c r="HD66" s="19"/>
      <c r="HE66" s="19"/>
      <c r="HF66" s="19"/>
      <c r="HG66" s="19"/>
      <c r="HH66" s="19"/>
      <c r="HI66" s="19"/>
      <c r="HJ66" s="19"/>
      <c r="HK66" s="19"/>
      <c r="HL66" s="19"/>
      <c r="HM66" s="19"/>
      <c r="HN66" s="19"/>
      <c r="HO66" s="19"/>
      <c r="HP66" s="19"/>
      <c r="HQ66" s="19"/>
      <c r="HR66" s="19"/>
      <c r="HS66" s="19"/>
      <c r="HT66" s="19"/>
      <c r="HU66" s="19"/>
      <c r="HV66" s="19"/>
      <c r="HW66" s="19"/>
      <c r="HX66" s="19"/>
      <c r="HY66" s="19"/>
      <c r="HZ66" s="19"/>
      <c r="IA66" s="19"/>
      <c r="IB66" s="19"/>
      <c r="IC66" s="19"/>
      <c r="ID66" s="19"/>
      <c r="IE66" s="19"/>
      <c r="IF66" s="19"/>
      <c r="IG66" s="19"/>
      <c r="IH66" s="19"/>
      <c r="II66" s="19"/>
      <c r="IJ66" s="19"/>
      <c r="IK66" s="19"/>
      <c r="IL66" s="19"/>
      <c r="IM66" s="19"/>
      <c r="IN66" s="19"/>
      <c r="IO66" s="19"/>
      <c r="IP66" s="19"/>
      <c r="IQ66" s="19"/>
      <c r="IR66" s="19"/>
      <c r="IS66" s="19"/>
      <c r="IT66" s="19"/>
      <c r="IU66" s="19"/>
      <c r="IV66" s="19"/>
      <c r="IW66" s="19"/>
    </row>
    <row r="67" spans="1:257">
      <c r="A67" s="16" t="s">
        <v>81</v>
      </c>
      <c r="B67" s="21" t="str">
        <f>VLOOKUP(A67,Sheet1!$A$1:$B$242,2,FALSE)</f>
        <v>부채합계</v>
      </c>
      <c r="C67" s="20">
        <v>125224363</v>
      </c>
      <c r="D67" s="20">
        <v>119419137</v>
      </c>
      <c r="E67" s="20">
        <v>118401489</v>
      </c>
      <c r="F67" s="20">
        <v>119210963</v>
      </c>
      <c r="G67" s="20">
        <v>125056585</v>
      </c>
      <c r="H67" s="20">
        <v>118903211</v>
      </c>
      <c r="I67" s="20">
        <v>118903211</v>
      </c>
      <c r="J67" s="20">
        <v>127492661</v>
      </c>
      <c r="K67" s="20">
        <v>129076764</v>
      </c>
      <c r="L67" s="20">
        <v>119540901</v>
      </c>
      <c r="M67" s="20">
        <v>119540901</v>
      </c>
      <c r="N67" s="20">
        <v>119540901</v>
      </c>
      <c r="O67" s="20">
        <v>119540901</v>
      </c>
      <c r="P67" s="20">
        <v>119540901</v>
      </c>
      <c r="Q67" s="20">
        <v>119540901</v>
      </c>
      <c r="R67" s="20">
        <v>119540901</v>
      </c>
      <c r="S67" s="20">
        <v>119540901</v>
      </c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19"/>
      <c r="HF67" s="19"/>
      <c r="HG67" s="19"/>
      <c r="HH67" s="19"/>
      <c r="HI67" s="19"/>
      <c r="HJ67" s="19"/>
      <c r="HK67" s="19"/>
      <c r="HL67" s="19"/>
      <c r="HM67" s="19"/>
      <c r="HN67" s="19"/>
      <c r="HO67" s="19"/>
      <c r="HP67" s="19"/>
      <c r="HQ67" s="19"/>
      <c r="HR67" s="19"/>
      <c r="HS67" s="19"/>
      <c r="HT67" s="19"/>
      <c r="HU67" s="19"/>
      <c r="HV67" s="19"/>
      <c r="HW67" s="19"/>
      <c r="HX67" s="19"/>
      <c r="HY67" s="19"/>
      <c r="HZ67" s="19"/>
      <c r="IA67" s="19"/>
      <c r="IB67" s="19"/>
      <c r="IC67" s="19"/>
      <c r="ID67" s="19"/>
      <c r="IE67" s="19"/>
      <c r="IF67" s="19"/>
      <c r="IG67" s="19"/>
      <c r="IH67" s="19"/>
      <c r="II67" s="19"/>
      <c r="IJ67" s="19"/>
      <c r="IK67" s="19"/>
      <c r="IL67" s="19"/>
      <c r="IM67" s="19"/>
      <c r="IN67" s="19"/>
      <c r="IO67" s="19"/>
      <c r="IP67" s="19"/>
      <c r="IQ67" s="19"/>
      <c r="IR67" s="19"/>
      <c r="IS67" s="19"/>
      <c r="IT67" s="19"/>
      <c r="IU67" s="19"/>
      <c r="IV67" s="19"/>
      <c r="IW67" s="19"/>
    </row>
    <row r="68" spans="1:257">
      <c r="A68" s="16" t="s">
        <v>82</v>
      </c>
      <c r="B68" s="21" t="str">
        <f>VLOOKUP(A68,Sheet1!$A$1:$B$242,2,FALSE)</f>
        <v>[자본금]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19"/>
      <c r="HF68" s="19"/>
      <c r="HG68" s="19"/>
      <c r="HH68" s="19"/>
      <c r="HI68" s="19"/>
      <c r="HJ68" s="19"/>
      <c r="HK68" s="19"/>
      <c r="HL68" s="19"/>
      <c r="HM68" s="19"/>
      <c r="HN68" s="19"/>
      <c r="HO68" s="19"/>
      <c r="HP68" s="19"/>
      <c r="HQ68" s="19"/>
      <c r="HR68" s="19"/>
      <c r="HS68" s="19"/>
      <c r="HT68" s="19"/>
      <c r="HU68" s="19"/>
      <c r="HV68" s="19"/>
      <c r="HW68" s="19"/>
      <c r="HX68" s="19"/>
      <c r="HY68" s="19"/>
      <c r="HZ68" s="19"/>
      <c r="IA68" s="19"/>
      <c r="IB68" s="19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</row>
    <row r="69" spans="1:257">
      <c r="A69" s="16" t="s">
        <v>83</v>
      </c>
      <c r="B69" s="21" t="str">
        <f>VLOOKUP(A69,Sheet1!$A$1:$B$242,2,FALSE)</f>
        <v>자본금</v>
      </c>
      <c r="C69" s="20">
        <v>19999000</v>
      </c>
      <c r="D69" s="20">
        <v>19999000</v>
      </c>
      <c r="E69" s="20">
        <v>19999000</v>
      </c>
      <c r="F69" s="20">
        <v>19999000</v>
      </c>
      <c r="G69" s="20">
        <v>19999000</v>
      </c>
      <c r="H69" s="20">
        <v>19999000</v>
      </c>
      <c r="I69" s="20">
        <v>19999000</v>
      </c>
      <c r="J69" s="20">
        <v>19999000</v>
      </c>
      <c r="K69" s="20">
        <v>19999000</v>
      </c>
      <c r="L69" s="20">
        <v>19999000</v>
      </c>
      <c r="M69" s="20">
        <v>19999000</v>
      </c>
      <c r="N69" s="20">
        <v>19999000</v>
      </c>
      <c r="O69" s="20">
        <v>19999000</v>
      </c>
      <c r="P69" s="20">
        <v>19999000</v>
      </c>
      <c r="Q69" s="20">
        <v>19999000</v>
      </c>
      <c r="R69" s="20">
        <v>19999000</v>
      </c>
      <c r="S69" s="20">
        <v>19999000</v>
      </c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  <c r="HD69" s="19"/>
      <c r="HE69" s="19"/>
      <c r="HF69" s="19"/>
      <c r="HG69" s="19"/>
      <c r="HH69" s="19"/>
      <c r="HI69" s="19"/>
      <c r="HJ69" s="19"/>
      <c r="HK69" s="19"/>
      <c r="HL69" s="19"/>
      <c r="HM69" s="19"/>
      <c r="HN69" s="19"/>
      <c r="HO69" s="19"/>
      <c r="HP69" s="19"/>
      <c r="HQ69" s="19"/>
      <c r="HR69" s="19"/>
      <c r="HS69" s="19"/>
      <c r="HT69" s="19"/>
      <c r="HU69" s="19"/>
      <c r="HV69" s="19"/>
      <c r="HW69" s="19"/>
      <c r="HX69" s="19"/>
      <c r="HY69" s="19"/>
      <c r="HZ69" s="19"/>
      <c r="IA69" s="19"/>
      <c r="IB69" s="19"/>
      <c r="IC69" s="19"/>
      <c r="ID69" s="19"/>
      <c r="IE69" s="19"/>
      <c r="IF69" s="19"/>
      <c r="IG69" s="19"/>
      <c r="IH69" s="19"/>
      <c r="II69" s="19"/>
      <c r="IJ69" s="19"/>
      <c r="IK69" s="19"/>
      <c r="IL69" s="19"/>
      <c r="IM69" s="19"/>
      <c r="IN69" s="19"/>
      <c r="IO69" s="19"/>
      <c r="IP69" s="19"/>
      <c r="IQ69" s="19"/>
      <c r="IR69" s="19"/>
      <c r="IS69" s="19"/>
      <c r="IT69" s="19"/>
      <c r="IU69" s="19"/>
      <c r="IV69" s="19"/>
      <c r="IW69" s="19"/>
    </row>
    <row r="70" spans="1:257">
      <c r="A70" s="16" t="s">
        <v>84</v>
      </c>
      <c r="B70" s="21" t="str">
        <f>VLOOKUP(A70,Sheet1!$A$1:$B$242,2,FALSE)</f>
        <v>자본금합계</v>
      </c>
      <c r="C70" s="20">
        <v>19999000</v>
      </c>
      <c r="D70" s="20">
        <v>19999000</v>
      </c>
      <c r="E70" s="20">
        <v>19999000</v>
      </c>
      <c r="F70" s="20">
        <v>19999000</v>
      </c>
      <c r="G70" s="20">
        <v>19999000</v>
      </c>
      <c r="H70" s="20">
        <v>19999000</v>
      </c>
      <c r="I70" s="20">
        <v>19999000</v>
      </c>
      <c r="J70" s="20">
        <v>19999000</v>
      </c>
      <c r="K70" s="20">
        <v>19999000</v>
      </c>
      <c r="L70" s="20">
        <v>19999000</v>
      </c>
      <c r="M70" s="20">
        <v>19999000</v>
      </c>
      <c r="N70" s="20">
        <v>19999000</v>
      </c>
      <c r="O70" s="20">
        <v>19999000</v>
      </c>
      <c r="P70" s="20">
        <v>19999000</v>
      </c>
      <c r="Q70" s="20">
        <v>19999000</v>
      </c>
      <c r="R70" s="20">
        <v>19999000</v>
      </c>
      <c r="S70" s="20">
        <v>19999000</v>
      </c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9"/>
      <c r="IB70" s="19"/>
      <c r="IC70" s="19"/>
      <c r="ID70" s="19"/>
      <c r="IE70" s="19"/>
      <c r="IF70" s="19"/>
      <c r="IG70" s="19"/>
      <c r="IH70" s="19"/>
      <c r="II70" s="19"/>
      <c r="IJ70" s="19"/>
      <c r="IK70" s="19"/>
      <c r="IL70" s="19"/>
      <c r="IM70" s="19"/>
      <c r="IN70" s="19"/>
      <c r="IO70" s="19"/>
      <c r="IP70" s="19"/>
      <c r="IQ70" s="19"/>
      <c r="IR70" s="19"/>
      <c r="IS70" s="19"/>
      <c r="IT70" s="19"/>
      <c r="IU70" s="19"/>
      <c r="IV70" s="19"/>
      <c r="IW70" s="19"/>
    </row>
    <row r="71" spans="1:257">
      <c r="A71" s="16" t="s">
        <v>85</v>
      </c>
      <c r="B71" s="21" t="str">
        <f>VLOOKUP(A71,Sheet1!$A$1:$B$242,2,FALSE)</f>
        <v>[신주발행준비금]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9"/>
      <c r="IB71" s="19"/>
      <c r="IC71" s="19"/>
      <c r="ID71" s="19"/>
      <c r="IE71" s="19"/>
      <c r="IF71" s="19"/>
      <c r="IG71" s="19"/>
      <c r="IH71" s="19"/>
      <c r="II71" s="19"/>
      <c r="IJ71" s="19"/>
      <c r="IK71" s="19"/>
      <c r="IL71" s="19"/>
      <c r="IM71" s="19"/>
      <c r="IN71" s="19"/>
      <c r="IO71" s="19"/>
      <c r="IP71" s="19"/>
      <c r="IQ71" s="19"/>
      <c r="IR71" s="19"/>
      <c r="IS71" s="19"/>
      <c r="IT71" s="19"/>
      <c r="IU71" s="19"/>
      <c r="IV71" s="19"/>
      <c r="IW71" s="19"/>
    </row>
    <row r="72" spans="1:257">
      <c r="A72" s="16" t="s">
        <v>86</v>
      </c>
      <c r="B72" s="21" t="str">
        <f>VLOOKUP(A72,Sheet1!$A$1:$B$242,2,FALSE)</f>
        <v>신주발행준비금합계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  <c r="HN72" s="19"/>
      <c r="HO72" s="19"/>
      <c r="HP72" s="19"/>
      <c r="HQ72" s="19"/>
      <c r="HR72" s="19"/>
      <c r="HS72" s="19"/>
      <c r="HT72" s="19"/>
      <c r="HU72" s="19"/>
      <c r="HV72" s="19"/>
      <c r="HW72" s="19"/>
      <c r="HX72" s="19"/>
      <c r="HY72" s="19"/>
      <c r="HZ72" s="19"/>
      <c r="IA72" s="19"/>
      <c r="IB72" s="19"/>
      <c r="IC72" s="19"/>
      <c r="ID72" s="19"/>
      <c r="IE72" s="19"/>
      <c r="IF72" s="19"/>
      <c r="IG72" s="19"/>
      <c r="IH72" s="19"/>
      <c r="II72" s="19"/>
      <c r="IJ72" s="19"/>
      <c r="IK72" s="19"/>
      <c r="IL72" s="19"/>
      <c r="IM72" s="19"/>
      <c r="IN72" s="19"/>
      <c r="IO72" s="19"/>
      <c r="IP72" s="19"/>
      <c r="IQ72" s="19"/>
      <c r="IR72" s="19"/>
      <c r="IS72" s="19"/>
      <c r="IT72" s="19"/>
      <c r="IU72" s="19"/>
      <c r="IV72" s="19"/>
      <c r="IW72" s="19"/>
    </row>
    <row r="73" spans="1:257">
      <c r="A73" s="16" t="s">
        <v>87</v>
      </c>
      <c r="B73" s="21" t="str">
        <f>VLOOKUP(A73,Sheet1!$A$1:$B$242,2,FALSE)</f>
        <v>[자본금잉여금]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  <c r="HD73" s="19"/>
      <c r="HE73" s="19"/>
      <c r="HF73" s="19"/>
      <c r="HG73" s="19"/>
      <c r="HH73" s="19"/>
      <c r="HI73" s="19"/>
      <c r="HJ73" s="19"/>
      <c r="HK73" s="19"/>
      <c r="HL73" s="19"/>
      <c r="HM73" s="19"/>
      <c r="HN73" s="19"/>
      <c r="HO73" s="19"/>
      <c r="HP73" s="19"/>
      <c r="HQ73" s="19"/>
      <c r="HR73" s="19"/>
      <c r="HS73" s="19"/>
      <c r="HT73" s="19"/>
      <c r="HU73" s="19"/>
      <c r="HV73" s="19"/>
      <c r="HW73" s="19"/>
      <c r="HX73" s="19"/>
      <c r="HY73" s="19"/>
      <c r="HZ73" s="19"/>
      <c r="IA73" s="19"/>
      <c r="IB73" s="19"/>
      <c r="IC73" s="19"/>
      <c r="ID73" s="19"/>
      <c r="IE73" s="19"/>
      <c r="IF73" s="19"/>
      <c r="IG73" s="19"/>
      <c r="IH73" s="19"/>
      <c r="II73" s="19"/>
      <c r="IJ73" s="19"/>
      <c r="IK73" s="19"/>
      <c r="IL73" s="19"/>
      <c r="IM73" s="19"/>
      <c r="IN73" s="19"/>
      <c r="IO73" s="19"/>
      <c r="IP73" s="19"/>
      <c r="IQ73" s="19"/>
      <c r="IR73" s="19"/>
      <c r="IS73" s="19"/>
      <c r="IT73" s="19"/>
      <c r="IU73" s="19"/>
      <c r="IV73" s="19"/>
      <c r="IW73" s="19"/>
    </row>
    <row r="74" spans="1:257">
      <c r="A74" s="16" t="s">
        <v>88</v>
      </c>
      <c r="B74" s="21" t="str">
        <f>VLOOKUP(A74,Sheet1!$A$1:$B$242,2,FALSE)</f>
        <v>자본준비금합계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19"/>
      <c r="HF74" s="19"/>
      <c r="HG74" s="19"/>
      <c r="HH74" s="19"/>
      <c r="HI74" s="19"/>
      <c r="HJ74" s="19"/>
      <c r="HK74" s="19"/>
      <c r="HL74" s="19"/>
      <c r="HM74" s="19"/>
      <c r="HN74" s="19"/>
      <c r="HO74" s="19"/>
      <c r="HP74" s="19"/>
      <c r="HQ74" s="19"/>
      <c r="HR74" s="19"/>
      <c r="HS74" s="19"/>
      <c r="HT74" s="19"/>
      <c r="HU74" s="19"/>
      <c r="HV74" s="19"/>
      <c r="HW74" s="19"/>
      <c r="HX74" s="19"/>
      <c r="HY74" s="19"/>
      <c r="HZ74" s="19"/>
      <c r="IA74" s="19"/>
      <c r="IB74" s="19"/>
      <c r="IC74" s="19"/>
      <c r="ID74" s="19"/>
      <c r="IE74" s="19"/>
      <c r="IF74" s="19"/>
      <c r="IG74" s="19"/>
      <c r="IH74" s="19"/>
      <c r="II74" s="19"/>
      <c r="IJ74" s="19"/>
      <c r="IK74" s="19"/>
      <c r="IL74" s="19"/>
      <c r="IM74" s="19"/>
      <c r="IN74" s="19"/>
      <c r="IO74" s="19"/>
      <c r="IP74" s="19"/>
      <c r="IQ74" s="19"/>
      <c r="IR74" s="19"/>
      <c r="IS74" s="19"/>
      <c r="IT74" s="19"/>
      <c r="IU74" s="19"/>
      <c r="IV74" s="19"/>
      <c r="IW74" s="19"/>
    </row>
    <row r="75" spans="1:257">
      <c r="A75" s="16" t="s">
        <v>89</v>
      </c>
      <c r="B75" s="21" t="str">
        <f>VLOOKUP(A75,Sheet1!$A$1:$B$242,2,FALSE)</f>
        <v>기타자본잉여금합계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19"/>
      <c r="GL75" s="19"/>
      <c r="GM75" s="19"/>
      <c r="GN75" s="19"/>
      <c r="GO75" s="19"/>
      <c r="GP75" s="19"/>
      <c r="GQ75" s="19"/>
      <c r="GR75" s="19"/>
      <c r="GS75" s="19"/>
      <c r="GT75" s="19"/>
      <c r="GU75" s="19"/>
      <c r="GV75" s="19"/>
      <c r="GW75" s="19"/>
      <c r="GX75" s="19"/>
      <c r="GY75" s="19"/>
      <c r="GZ75" s="19"/>
      <c r="HA75" s="19"/>
      <c r="HB75" s="19"/>
      <c r="HC75" s="19"/>
      <c r="HD75" s="19"/>
      <c r="HE75" s="19"/>
      <c r="HF75" s="19"/>
      <c r="HG75" s="19"/>
      <c r="HH75" s="19"/>
      <c r="HI75" s="19"/>
      <c r="HJ75" s="19"/>
      <c r="HK75" s="19"/>
      <c r="HL75" s="19"/>
      <c r="HM75" s="19"/>
      <c r="HN75" s="19"/>
      <c r="HO75" s="19"/>
      <c r="HP75" s="19"/>
      <c r="HQ75" s="19"/>
      <c r="HR75" s="19"/>
      <c r="HS75" s="19"/>
      <c r="HT75" s="19"/>
      <c r="HU75" s="19"/>
      <c r="HV75" s="19"/>
      <c r="HW75" s="19"/>
      <c r="HX75" s="19"/>
      <c r="HY75" s="19"/>
      <c r="HZ75" s="19"/>
      <c r="IA75" s="19"/>
      <c r="IB75" s="19"/>
      <c r="IC75" s="19"/>
      <c r="ID75" s="19"/>
      <c r="IE75" s="19"/>
      <c r="IF75" s="19"/>
      <c r="IG75" s="19"/>
      <c r="IH75" s="19"/>
      <c r="II75" s="19"/>
      <c r="IJ75" s="19"/>
      <c r="IK75" s="19"/>
      <c r="IL75" s="19"/>
      <c r="IM75" s="19"/>
      <c r="IN75" s="19"/>
      <c r="IO75" s="19"/>
      <c r="IP75" s="19"/>
      <c r="IQ75" s="19"/>
      <c r="IR75" s="19"/>
      <c r="IS75" s="19"/>
      <c r="IT75" s="19"/>
      <c r="IU75" s="19"/>
      <c r="IV75" s="19"/>
      <c r="IW75" s="19"/>
    </row>
    <row r="76" spans="1:257">
      <c r="A76" s="16" t="s">
        <v>90</v>
      </c>
      <c r="B76" s="21" t="str">
        <f>VLOOKUP(A76,Sheet1!$A$1:$B$242,2,FALSE)</f>
        <v>자본잉여금 합계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  <c r="HD76" s="19"/>
      <c r="HE76" s="19"/>
      <c r="HF76" s="19"/>
      <c r="HG76" s="19"/>
      <c r="HH76" s="19"/>
      <c r="HI76" s="19"/>
      <c r="HJ76" s="19"/>
      <c r="HK76" s="19"/>
      <c r="HL76" s="19"/>
      <c r="HM76" s="19"/>
      <c r="HN76" s="19"/>
      <c r="HO76" s="19"/>
      <c r="HP76" s="19"/>
      <c r="HQ76" s="19"/>
      <c r="HR76" s="19"/>
      <c r="HS76" s="19"/>
      <c r="HT76" s="19"/>
      <c r="HU76" s="19"/>
      <c r="HV76" s="19"/>
      <c r="HW76" s="19"/>
      <c r="HX76" s="19"/>
      <c r="HY76" s="19"/>
      <c r="HZ76" s="19"/>
      <c r="IA76" s="19"/>
      <c r="IB76" s="19"/>
      <c r="IC76" s="19"/>
      <c r="ID76" s="19"/>
      <c r="IE76" s="19"/>
      <c r="IF76" s="19"/>
      <c r="IG76" s="19"/>
      <c r="IH76" s="19"/>
      <c r="II76" s="19"/>
      <c r="IJ76" s="19"/>
      <c r="IK76" s="19"/>
      <c r="IL76" s="19"/>
      <c r="IM76" s="19"/>
      <c r="IN76" s="19"/>
      <c r="IO76" s="19"/>
      <c r="IP76" s="19"/>
      <c r="IQ76" s="19"/>
      <c r="IR76" s="19"/>
      <c r="IS76" s="19"/>
      <c r="IT76" s="19"/>
      <c r="IU76" s="19"/>
      <c r="IV76" s="19"/>
      <c r="IW76" s="19"/>
    </row>
    <row r="77" spans="1:257">
      <c r="A77" s="16" t="s">
        <v>91</v>
      </c>
      <c r="B77" s="21" t="str">
        <f>VLOOKUP(A77,Sheet1!$A$1:$B$242,2,FALSE)</f>
        <v>[이익잉여금]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19"/>
      <c r="HF77" s="19"/>
      <c r="HG77" s="19"/>
      <c r="HH77" s="19"/>
      <c r="HI77" s="19"/>
      <c r="HJ77" s="19"/>
      <c r="HK77" s="19"/>
      <c r="HL77" s="19"/>
      <c r="HM77" s="19"/>
      <c r="HN77" s="19"/>
      <c r="HO77" s="19"/>
      <c r="HP77" s="19"/>
      <c r="HQ77" s="19"/>
      <c r="HR77" s="19"/>
      <c r="HS77" s="19"/>
      <c r="HT77" s="19"/>
      <c r="HU77" s="19"/>
      <c r="HV77" s="19"/>
      <c r="HW77" s="19"/>
      <c r="HX77" s="19"/>
      <c r="HY77" s="19"/>
      <c r="HZ77" s="19"/>
      <c r="IA77" s="19"/>
      <c r="IB77" s="19"/>
      <c r="IC77" s="19"/>
      <c r="ID77" s="19"/>
      <c r="IE77" s="19"/>
      <c r="IF77" s="19"/>
      <c r="IG77" s="19"/>
      <c r="IH77" s="19"/>
      <c r="II77" s="19"/>
      <c r="IJ77" s="19"/>
      <c r="IK77" s="19"/>
      <c r="IL77" s="19"/>
      <c r="IM77" s="19"/>
      <c r="IN77" s="19"/>
      <c r="IO77" s="19"/>
      <c r="IP77" s="19"/>
      <c r="IQ77" s="19"/>
      <c r="IR77" s="19"/>
      <c r="IS77" s="19"/>
      <c r="IT77" s="19"/>
      <c r="IU77" s="19"/>
      <c r="IV77" s="19"/>
      <c r="IW77" s="19"/>
    </row>
    <row r="78" spans="1:257">
      <c r="A78" s="16" t="s">
        <v>92</v>
      </c>
      <c r="B78" s="21" t="str">
        <f>VLOOKUP(A78,Sheet1!$A$1:$B$242,2,FALSE)</f>
        <v>이익준비금합계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  <c r="HD78" s="19"/>
      <c r="HE78" s="19"/>
      <c r="HF78" s="19"/>
      <c r="HG78" s="19"/>
      <c r="HH78" s="19"/>
      <c r="HI78" s="19"/>
      <c r="HJ78" s="19"/>
      <c r="HK78" s="19"/>
      <c r="HL78" s="19"/>
      <c r="HM78" s="19"/>
      <c r="HN78" s="19"/>
      <c r="HO78" s="19"/>
      <c r="HP78" s="19"/>
      <c r="HQ78" s="19"/>
      <c r="HR78" s="19"/>
      <c r="HS78" s="19"/>
      <c r="HT78" s="19"/>
      <c r="HU78" s="19"/>
      <c r="HV78" s="19"/>
      <c r="HW78" s="19"/>
      <c r="HX78" s="19"/>
      <c r="HY78" s="19"/>
      <c r="HZ78" s="19"/>
      <c r="IA78" s="19"/>
      <c r="IB78" s="19"/>
      <c r="IC78" s="19"/>
      <c r="ID78" s="19"/>
      <c r="IE78" s="19"/>
      <c r="IF78" s="19"/>
      <c r="IG78" s="19"/>
      <c r="IH78" s="19"/>
      <c r="II78" s="19"/>
      <c r="IJ78" s="19"/>
      <c r="IK78" s="19"/>
      <c r="IL78" s="19"/>
      <c r="IM78" s="19"/>
      <c r="IN78" s="19"/>
      <c r="IO78" s="19"/>
      <c r="IP78" s="19"/>
      <c r="IQ78" s="19"/>
      <c r="IR78" s="19"/>
      <c r="IS78" s="19"/>
      <c r="IT78" s="19"/>
      <c r="IU78" s="19"/>
      <c r="IV78" s="19"/>
      <c r="IW78" s="19"/>
    </row>
    <row r="79" spans="1:257">
      <c r="A79" s="16" t="s">
        <v>93</v>
      </c>
      <c r="B79" s="21" t="str">
        <f>VLOOKUP(A79,Sheet1!$A$1:$B$242,2,FALSE)</f>
        <v>임의적립금 합계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19"/>
      <c r="HF79" s="19"/>
      <c r="HG79" s="19"/>
      <c r="HH79" s="19"/>
      <c r="HI79" s="19"/>
      <c r="HJ79" s="19"/>
      <c r="HK79" s="19"/>
      <c r="HL79" s="19"/>
      <c r="HM79" s="19"/>
      <c r="HN79" s="19"/>
      <c r="HO79" s="19"/>
      <c r="HP79" s="19"/>
      <c r="HQ79" s="19"/>
      <c r="HR79" s="19"/>
      <c r="HS79" s="19"/>
      <c r="HT79" s="19"/>
      <c r="HU79" s="19"/>
      <c r="HV79" s="19"/>
      <c r="HW79" s="19"/>
      <c r="HX79" s="19"/>
      <c r="HY79" s="19"/>
      <c r="HZ79" s="19"/>
      <c r="IA79" s="19"/>
      <c r="IB79" s="19"/>
      <c r="IC79" s="19"/>
      <c r="ID79" s="19"/>
      <c r="IE79" s="19"/>
      <c r="IF79" s="19"/>
      <c r="IG79" s="19"/>
      <c r="IH79" s="19"/>
      <c r="II79" s="19"/>
      <c r="IJ79" s="19"/>
      <c r="IK79" s="19"/>
      <c r="IL79" s="19"/>
      <c r="IM79" s="19"/>
      <c r="IN79" s="19"/>
      <c r="IO79" s="19"/>
      <c r="IP79" s="19"/>
      <c r="IQ79" s="19"/>
      <c r="IR79" s="19"/>
      <c r="IS79" s="19"/>
      <c r="IT79" s="19"/>
      <c r="IU79" s="19"/>
      <c r="IV79" s="19"/>
      <c r="IW79" s="19"/>
    </row>
    <row r="80" spans="1:257">
      <c r="A80" s="16" t="s">
        <v>94</v>
      </c>
      <c r="B80" s="21" t="str">
        <f>VLOOKUP(A80,Sheet1!$A$1:$B$242,2,FALSE)</f>
        <v>이월이익</v>
      </c>
      <c r="C80" s="20">
        <v>-20052175</v>
      </c>
      <c r="D80" s="20">
        <v>-20052175</v>
      </c>
      <c r="E80" s="20">
        <v>-20052175</v>
      </c>
      <c r="F80" s="20">
        <v>-20052175</v>
      </c>
      <c r="G80" s="20">
        <v>-20052175</v>
      </c>
      <c r="H80" s="20">
        <v>-20052175</v>
      </c>
      <c r="I80" s="20">
        <v>-20052175</v>
      </c>
      <c r="J80" s="20">
        <v>-20052175</v>
      </c>
      <c r="K80" s="20">
        <v>-20052175</v>
      </c>
      <c r="L80" s="20">
        <v>-20052175</v>
      </c>
      <c r="M80" s="20">
        <v>-20052175</v>
      </c>
      <c r="N80" s="20">
        <v>-20052175</v>
      </c>
      <c r="O80" s="20">
        <v>-20052175</v>
      </c>
      <c r="P80" s="20">
        <v>-20052175</v>
      </c>
      <c r="Q80" s="20">
        <v>-20052175</v>
      </c>
      <c r="R80" s="20">
        <v>-20052175</v>
      </c>
      <c r="S80" s="20">
        <v>-20052175</v>
      </c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19"/>
      <c r="HF80" s="19"/>
      <c r="HG80" s="19"/>
      <c r="HH80" s="19"/>
      <c r="HI80" s="19"/>
      <c r="HJ80" s="19"/>
      <c r="HK80" s="19"/>
      <c r="HL80" s="19"/>
      <c r="HM80" s="19"/>
      <c r="HN80" s="19"/>
      <c r="HO80" s="19"/>
      <c r="HP80" s="19"/>
      <c r="HQ80" s="19"/>
      <c r="HR80" s="19"/>
      <c r="HS80" s="19"/>
      <c r="HT80" s="19"/>
      <c r="HU80" s="19"/>
      <c r="HV80" s="19"/>
      <c r="HW80" s="19"/>
      <c r="HX80" s="19"/>
      <c r="HY80" s="19"/>
      <c r="HZ80" s="19"/>
      <c r="IA80" s="19"/>
      <c r="IB80" s="19"/>
      <c r="IC80" s="19"/>
      <c r="ID80" s="19"/>
      <c r="IE80" s="19"/>
      <c r="IF80" s="19"/>
      <c r="IG80" s="19"/>
      <c r="IH80" s="19"/>
      <c r="II80" s="19"/>
      <c r="IJ80" s="19"/>
      <c r="IK80" s="19"/>
      <c r="IL80" s="19"/>
      <c r="IM80" s="19"/>
      <c r="IN80" s="19"/>
      <c r="IO80" s="19"/>
      <c r="IP80" s="19"/>
      <c r="IQ80" s="19"/>
      <c r="IR80" s="19"/>
      <c r="IS80" s="19"/>
      <c r="IT80" s="19"/>
      <c r="IU80" s="19"/>
      <c r="IV80" s="19"/>
      <c r="IW80" s="19"/>
    </row>
    <row r="81" spans="1:257">
      <c r="A81" s="16" t="s">
        <v>95</v>
      </c>
      <c r="B81" s="21" t="str">
        <f>VLOOKUP(A81,Sheet1!$A$1:$B$242,2,FALSE)</f>
        <v>당기순손익금액</v>
      </c>
      <c r="C81" s="20">
        <v>1381208</v>
      </c>
      <c r="D81" s="20">
        <v>4736843</v>
      </c>
      <c r="E81" s="20">
        <v>14739699</v>
      </c>
      <c r="F81" s="20">
        <v>20385508</v>
      </c>
      <c r="G81" s="20">
        <v>22751640</v>
      </c>
      <c r="H81" s="20">
        <v>33743479</v>
      </c>
      <c r="I81" s="20">
        <v>33743479</v>
      </c>
      <c r="J81" s="20">
        <v>46282531</v>
      </c>
      <c r="K81" s="20">
        <v>53422417</v>
      </c>
      <c r="L81" s="20">
        <v>90067828</v>
      </c>
      <c r="M81" s="20">
        <v>90067828</v>
      </c>
      <c r="N81" s="20">
        <v>90067828</v>
      </c>
      <c r="O81" s="20">
        <v>90067828</v>
      </c>
      <c r="P81" s="20">
        <v>90067828</v>
      </c>
      <c r="Q81" s="20">
        <v>90067828</v>
      </c>
      <c r="R81" s="20">
        <v>90067828</v>
      </c>
      <c r="S81" s="20">
        <v>90067828</v>
      </c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  <c r="HD81" s="19"/>
      <c r="HE81" s="19"/>
      <c r="HF81" s="19"/>
      <c r="HG81" s="19"/>
      <c r="HH81" s="19"/>
      <c r="HI81" s="19"/>
      <c r="HJ81" s="19"/>
      <c r="HK81" s="19"/>
      <c r="HL81" s="19"/>
      <c r="HM81" s="19"/>
      <c r="HN81" s="19"/>
      <c r="HO81" s="19"/>
      <c r="HP81" s="19"/>
      <c r="HQ81" s="19"/>
      <c r="HR81" s="19"/>
      <c r="HS81" s="19"/>
      <c r="HT81" s="19"/>
      <c r="HU81" s="19"/>
      <c r="HV81" s="19"/>
      <c r="HW81" s="19"/>
      <c r="HX81" s="19"/>
      <c r="HY81" s="19"/>
      <c r="HZ81" s="19"/>
      <c r="IA81" s="19"/>
      <c r="IB81" s="19"/>
      <c r="IC81" s="19"/>
      <c r="ID81" s="19"/>
      <c r="IE81" s="19"/>
      <c r="IF81" s="19"/>
      <c r="IG81" s="19"/>
      <c r="IH81" s="19"/>
      <c r="II81" s="19"/>
      <c r="IJ81" s="19"/>
      <c r="IK81" s="19"/>
      <c r="IL81" s="19"/>
      <c r="IM81" s="19"/>
      <c r="IN81" s="19"/>
      <c r="IO81" s="19"/>
      <c r="IP81" s="19"/>
      <c r="IQ81" s="19"/>
      <c r="IR81" s="19"/>
      <c r="IS81" s="19"/>
      <c r="IT81" s="19"/>
      <c r="IU81" s="19"/>
      <c r="IV81" s="19"/>
      <c r="IW81" s="19"/>
    </row>
    <row r="82" spans="1:257">
      <c r="A82" s="16" t="s">
        <v>96</v>
      </c>
      <c r="B82" s="21" t="str">
        <f>VLOOKUP(A82,Sheet1!$A$1:$B$242,2,FALSE)</f>
        <v>이월이익잉여금합계</v>
      </c>
      <c r="C82" s="20">
        <v>-18670967</v>
      </c>
      <c r="D82" s="20">
        <v>-15315332</v>
      </c>
      <c r="E82" s="20">
        <v>-5312476</v>
      </c>
      <c r="F82" s="20">
        <v>333333</v>
      </c>
      <c r="G82" s="20">
        <v>2699465</v>
      </c>
      <c r="H82" s="20">
        <v>13691304</v>
      </c>
      <c r="I82" s="20">
        <v>13691304</v>
      </c>
      <c r="J82" s="20">
        <v>26230356</v>
      </c>
      <c r="K82" s="20">
        <v>33370242</v>
      </c>
      <c r="L82" s="20">
        <v>70015653</v>
      </c>
      <c r="M82" s="20">
        <v>70015653</v>
      </c>
      <c r="N82" s="20">
        <v>70015653</v>
      </c>
      <c r="O82" s="20">
        <v>70015653</v>
      </c>
      <c r="P82" s="20">
        <v>70015653</v>
      </c>
      <c r="Q82" s="20">
        <v>70015653</v>
      </c>
      <c r="R82" s="20">
        <v>70015653</v>
      </c>
      <c r="S82" s="20">
        <v>70015653</v>
      </c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19"/>
      <c r="HE82" s="19"/>
      <c r="HF82" s="19"/>
      <c r="HG82" s="19"/>
      <c r="HH82" s="19"/>
      <c r="HI82" s="19"/>
      <c r="HJ82" s="19"/>
      <c r="HK82" s="19"/>
      <c r="HL82" s="19"/>
      <c r="HM82" s="19"/>
      <c r="HN82" s="19"/>
      <c r="HO82" s="19"/>
      <c r="HP82" s="19"/>
      <c r="HQ82" s="19"/>
      <c r="HR82" s="19"/>
      <c r="HS82" s="19"/>
      <c r="HT82" s="19"/>
      <c r="HU82" s="19"/>
      <c r="HV82" s="19"/>
      <c r="HW82" s="19"/>
      <c r="HX82" s="19"/>
      <c r="HY82" s="19"/>
      <c r="HZ82" s="19"/>
      <c r="IA82" s="19"/>
      <c r="IB82" s="19"/>
      <c r="IC82" s="19"/>
      <c r="ID82" s="19"/>
      <c r="IE82" s="19"/>
      <c r="IF82" s="19"/>
      <c r="IG82" s="19"/>
      <c r="IH82" s="19"/>
      <c r="II82" s="19"/>
      <c r="IJ82" s="19"/>
      <c r="IK82" s="19"/>
      <c r="IL82" s="19"/>
      <c r="IM82" s="19"/>
      <c r="IN82" s="19"/>
      <c r="IO82" s="19"/>
      <c r="IP82" s="19"/>
      <c r="IQ82" s="19"/>
      <c r="IR82" s="19"/>
      <c r="IS82" s="19"/>
      <c r="IT82" s="19"/>
      <c r="IU82" s="19"/>
      <c r="IV82" s="19"/>
      <c r="IW82" s="19"/>
    </row>
    <row r="83" spans="1:257">
      <c r="A83" s="16" t="s">
        <v>97</v>
      </c>
      <c r="B83" s="21" t="str">
        <f>VLOOKUP(A83,Sheet1!$A$1:$B$242,2,FALSE)</f>
        <v>기타이익잉여금합계</v>
      </c>
      <c r="C83" s="20">
        <v>-18670967</v>
      </c>
      <c r="D83" s="20">
        <v>-15315332</v>
      </c>
      <c r="E83" s="20">
        <v>-5312476</v>
      </c>
      <c r="F83" s="20">
        <v>333333</v>
      </c>
      <c r="G83" s="20">
        <v>2699465</v>
      </c>
      <c r="H83" s="20">
        <v>13691304</v>
      </c>
      <c r="I83" s="20">
        <v>13691304</v>
      </c>
      <c r="J83" s="20">
        <v>26230356</v>
      </c>
      <c r="K83" s="20">
        <v>33370242</v>
      </c>
      <c r="L83" s="20">
        <v>70015653</v>
      </c>
      <c r="M83" s="20">
        <v>70015653</v>
      </c>
      <c r="N83" s="20">
        <v>70015653</v>
      </c>
      <c r="O83" s="20">
        <v>70015653</v>
      </c>
      <c r="P83" s="20">
        <v>70015653</v>
      </c>
      <c r="Q83" s="20">
        <v>70015653</v>
      </c>
      <c r="R83" s="20">
        <v>70015653</v>
      </c>
      <c r="S83" s="20">
        <v>70015653</v>
      </c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  <c r="HD83" s="19"/>
      <c r="HE83" s="19"/>
      <c r="HF83" s="19"/>
      <c r="HG83" s="19"/>
      <c r="HH83" s="19"/>
      <c r="HI83" s="19"/>
      <c r="HJ83" s="19"/>
      <c r="HK83" s="19"/>
      <c r="HL83" s="19"/>
      <c r="HM83" s="19"/>
      <c r="HN83" s="19"/>
      <c r="HO83" s="19"/>
      <c r="HP83" s="19"/>
      <c r="HQ83" s="19"/>
      <c r="HR83" s="19"/>
      <c r="HS83" s="19"/>
      <c r="HT83" s="19"/>
      <c r="HU83" s="19"/>
      <c r="HV83" s="19"/>
      <c r="HW83" s="19"/>
      <c r="HX83" s="19"/>
      <c r="HY83" s="19"/>
      <c r="HZ83" s="19"/>
      <c r="IA83" s="19"/>
      <c r="IB83" s="19"/>
      <c r="IC83" s="19"/>
      <c r="ID83" s="19"/>
      <c r="IE83" s="19"/>
      <c r="IF83" s="19"/>
      <c r="IG83" s="19"/>
      <c r="IH83" s="19"/>
      <c r="II83" s="19"/>
      <c r="IJ83" s="19"/>
      <c r="IK83" s="19"/>
      <c r="IL83" s="19"/>
      <c r="IM83" s="19"/>
      <c r="IN83" s="19"/>
      <c r="IO83" s="19"/>
      <c r="IP83" s="19"/>
      <c r="IQ83" s="19"/>
      <c r="IR83" s="19"/>
      <c r="IS83" s="19"/>
      <c r="IT83" s="19"/>
      <c r="IU83" s="19"/>
      <c r="IV83" s="19"/>
      <c r="IW83" s="19"/>
    </row>
    <row r="84" spans="1:257">
      <c r="A84" s="16" t="s">
        <v>98</v>
      </c>
      <c r="B84" s="21" t="str">
        <f>VLOOKUP(A84,Sheet1!$A$1:$B$242,2,FALSE)</f>
        <v>이익잉여금합계</v>
      </c>
      <c r="C84" s="20">
        <v>-18670967</v>
      </c>
      <c r="D84" s="20">
        <v>-15315332</v>
      </c>
      <c r="E84" s="20">
        <v>-5312476</v>
      </c>
      <c r="F84" s="20">
        <v>333333</v>
      </c>
      <c r="G84" s="20">
        <v>2699465</v>
      </c>
      <c r="H84" s="20">
        <v>13691304</v>
      </c>
      <c r="I84" s="20">
        <v>13691304</v>
      </c>
      <c r="J84" s="20">
        <v>26230356</v>
      </c>
      <c r="K84" s="20">
        <v>33370242</v>
      </c>
      <c r="L84" s="20">
        <v>70015653</v>
      </c>
      <c r="M84" s="20">
        <v>70015653</v>
      </c>
      <c r="N84" s="20">
        <v>70015653</v>
      </c>
      <c r="O84" s="20">
        <v>70015653</v>
      </c>
      <c r="P84" s="20">
        <v>70015653</v>
      </c>
      <c r="Q84" s="20">
        <v>70015653</v>
      </c>
      <c r="R84" s="20">
        <v>70015653</v>
      </c>
      <c r="S84" s="20">
        <v>70015653</v>
      </c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  <c r="HD84" s="19"/>
      <c r="HE84" s="19"/>
      <c r="HF84" s="19"/>
      <c r="HG84" s="19"/>
      <c r="HH84" s="19"/>
      <c r="HI84" s="19"/>
      <c r="HJ84" s="19"/>
      <c r="HK84" s="19"/>
      <c r="HL84" s="19"/>
      <c r="HM84" s="19"/>
      <c r="HN84" s="19"/>
      <c r="HO84" s="19"/>
      <c r="HP84" s="19"/>
      <c r="HQ84" s="19"/>
      <c r="HR84" s="19"/>
      <c r="HS84" s="19"/>
      <c r="HT84" s="19"/>
      <c r="HU84" s="19"/>
      <c r="HV84" s="19"/>
      <c r="HW84" s="19"/>
      <c r="HX84" s="19"/>
      <c r="HY84" s="19"/>
      <c r="HZ84" s="19"/>
      <c r="IA84" s="19"/>
      <c r="IB84" s="19"/>
      <c r="IC84" s="19"/>
      <c r="ID84" s="19"/>
      <c r="IE84" s="19"/>
      <c r="IF84" s="19"/>
      <c r="IG84" s="19"/>
      <c r="IH84" s="19"/>
      <c r="II84" s="19"/>
      <c r="IJ84" s="19"/>
      <c r="IK84" s="19"/>
      <c r="IL84" s="19"/>
      <c r="IM84" s="19"/>
      <c r="IN84" s="19"/>
      <c r="IO84" s="19"/>
      <c r="IP84" s="19"/>
      <c r="IQ84" s="19"/>
      <c r="IR84" s="19"/>
      <c r="IS84" s="19"/>
      <c r="IT84" s="19"/>
      <c r="IU84" s="19"/>
      <c r="IV84" s="19"/>
      <c r="IW84" s="19"/>
    </row>
    <row r="85" spans="1:257">
      <c r="A85" s="16" t="s">
        <v>99</v>
      </c>
      <c r="B85" s="21" t="str">
        <f>VLOOKUP(A85,Sheet1!$A$1:$B$242,2,FALSE)</f>
        <v>[자기자본]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  <c r="HD85" s="19"/>
      <c r="HE85" s="19"/>
      <c r="HF85" s="19"/>
      <c r="HG85" s="19"/>
      <c r="HH85" s="19"/>
      <c r="HI85" s="19"/>
      <c r="HJ85" s="19"/>
      <c r="HK85" s="19"/>
      <c r="HL85" s="19"/>
      <c r="HM85" s="19"/>
      <c r="HN85" s="19"/>
      <c r="HO85" s="19"/>
      <c r="HP85" s="19"/>
      <c r="HQ85" s="19"/>
      <c r="HR85" s="19"/>
      <c r="HS85" s="19"/>
      <c r="HT85" s="19"/>
      <c r="HU85" s="19"/>
      <c r="HV85" s="19"/>
      <c r="HW85" s="19"/>
      <c r="HX85" s="19"/>
      <c r="HY85" s="19"/>
      <c r="HZ85" s="19"/>
      <c r="IA85" s="19"/>
      <c r="IB85" s="19"/>
      <c r="IC85" s="19"/>
      <c r="ID85" s="19"/>
      <c r="IE85" s="19"/>
      <c r="IF85" s="19"/>
      <c r="IG85" s="19"/>
      <c r="IH85" s="19"/>
      <c r="II85" s="19"/>
      <c r="IJ85" s="19"/>
      <c r="IK85" s="19"/>
      <c r="IL85" s="19"/>
      <c r="IM85" s="19"/>
      <c r="IN85" s="19"/>
      <c r="IO85" s="19"/>
      <c r="IP85" s="19"/>
      <c r="IQ85" s="19"/>
      <c r="IR85" s="19"/>
      <c r="IS85" s="19"/>
      <c r="IT85" s="19"/>
      <c r="IU85" s="19"/>
      <c r="IV85" s="19"/>
      <c r="IW85" s="19"/>
    </row>
    <row r="86" spans="1:257">
      <c r="A86" s="16" t="s">
        <v>100</v>
      </c>
      <c r="B86" s="21" t="str">
        <f>VLOOKUP(A86,Sheet1!$A$1:$B$242,2,FALSE)</f>
        <v>자기자본합계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  <c r="FR86" s="19"/>
      <c r="FS86" s="19"/>
      <c r="FT86" s="19"/>
      <c r="FU86" s="19"/>
      <c r="FV86" s="19"/>
      <c r="FW86" s="19"/>
      <c r="FX86" s="19"/>
      <c r="FY86" s="19"/>
      <c r="FZ86" s="19"/>
      <c r="GA86" s="19"/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/>
      <c r="GS86" s="19"/>
      <c r="GT86" s="19"/>
      <c r="GU86" s="19"/>
      <c r="GV86" s="19"/>
      <c r="GW86" s="19"/>
      <c r="GX86" s="19"/>
      <c r="GY86" s="19"/>
      <c r="GZ86" s="19"/>
      <c r="HA86" s="19"/>
      <c r="HB86" s="19"/>
      <c r="HC86" s="19"/>
      <c r="HD86" s="19"/>
      <c r="HE86" s="19"/>
      <c r="HF86" s="19"/>
      <c r="HG86" s="19"/>
      <c r="HH86" s="19"/>
      <c r="HI86" s="19"/>
      <c r="HJ86" s="19"/>
      <c r="HK86" s="19"/>
      <c r="HL86" s="19"/>
      <c r="HM86" s="19"/>
      <c r="HN86" s="19"/>
      <c r="HO86" s="19"/>
      <c r="HP86" s="19"/>
      <c r="HQ86" s="19"/>
      <c r="HR86" s="19"/>
      <c r="HS86" s="19"/>
      <c r="HT86" s="19"/>
      <c r="HU86" s="19"/>
      <c r="HV86" s="19"/>
      <c r="HW86" s="19"/>
      <c r="HX86" s="19"/>
      <c r="HY86" s="19"/>
      <c r="HZ86" s="19"/>
      <c r="IA86" s="19"/>
      <c r="IB86" s="19"/>
      <c r="IC86" s="19"/>
      <c r="ID86" s="19"/>
      <c r="IE86" s="19"/>
      <c r="IF86" s="19"/>
      <c r="IG86" s="19"/>
      <c r="IH86" s="19"/>
      <c r="II86" s="19"/>
      <c r="IJ86" s="19"/>
      <c r="IK86" s="19"/>
      <c r="IL86" s="19"/>
      <c r="IM86" s="19"/>
      <c r="IN86" s="19"/>
      <c r="IO86" s="19"/>
      <c r="IP86" s="19"/>
      <c r="IQ86" s="19"/>
      <c r="IR86" s="19"/>
      <c r="IS86" s="19"/>
      <c r="IT86" s="19"/>
      <c r="IU86" s="19"/>
      <c r="IV86" s="19"/>
      <c r="IW86" s="19"/>
    </row>
    <row r="87" spans="1:257">
      <c r="A87" s="16" t="s">
        <v>101</v>
      </c>
      <c r="B87" s="21" t="str">
        <f>VLOOKUP(A87,Sheet1!$A$1:$B$242,2,FALSE)</f>
        <v>[자기주식발행준비금]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  <c r="FR87" s="19"/>
      <c r="FS87" s="19"/>
      <c r="FT87" s="19"/>
      <c r="FU87" s="19"/>
      <c r="FV87" s="19"/>
      <c r="FW87" s="19"/>
      <c r="FX87" s="19"/>
      <c r="FY87" s="19"/>
      <c r="FZ87" s="19"/>
      <c r="GA87" s="19"/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9"/>
      <c r="GY87" s="19"/>
      <c r="GZ87" s="19"/>
      <c r="HA87" s="19"/>
      <c r="HB87" s="19"/>
      <c r="HC87" s="19"/>
      <c r="HD87" s="19"/>
      <c r="HE87" s="19"/>
      <c r="HF87" s="19"/>
      <c r="HG87" s="19"/>
      <c r="HH87" s="19"/>
      <c r="HI87" s="19"/>
      <c r="HJ87" s="19"/>
      <c r="HK87" s="19"/>
      <c r="HL87" s="19"/>
      <c r="HM87" s="19"/>
      <c r="HN87" s="19"/>
      <c r="HO87" s="19"/>
      <c r="HP87" s="19"/>
      <c r="HQ87" s="19"/>
      <c r="HR87" s="19"/>
      <c r="HS87" s="19"/>
      <c r="HT87" s="19"/>
      <c r="HU87" s="19"/>
      <c r="HV87" s="19"/>
      <c r="HW87" s="19"/>
      <c r="HX87" s="19"/>
      <c r="HY87" s="19"/>
      <c r="HZ87" s="19"/>
      <c r="IA87" s="19"/>
      <c r="IB87" s="19"/>
      <c r="IC87" s="19"/>
      <c r="ID87" s="19"/>
      <c r="IE87" s="19"/>
      <c r="IF87" s="19"/>
      <c r="IG87" s="19"/>
      <c r="IH87" s="19"/>
      <c r="II87" s="19"/>
      <c r="IJ87" s="19"/>
      <c r="IK87" s="19"/>
      <c r="IL87" s="19"/>
      <c r="IM87" s="19"/>
      <c r="IN87" s="19"/>
      <c r="IO87" s="19"/>
      <c r="IP87" s="19"/>
      <c r="IQ87" s="19"/>
      <c r="IR87" s="19"/>
      <c r="IS87" s="19"/>
      <c r="IT87" s="19"/>
      <c r="IU87" s="19"/>
      <c r="IV87" s="19"/>
      <c r="IW87" s="19"/>
    </row>
    <row r="88" spans="1:257">
      <c r="A88" s="16" t="s">
        <v>102</v>
      </c>
      <c r="B88" s="21" t="str">
        <f>VLOOKUP(A88,Sheet1!$A$1:$B$242,2,FALSE)</f>
        <v>자기주식발행준비금합계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  <c r="FR88" s="19"/>
      <c r="FS88" s="19"/>
      <c r="FT88" s="19"/>
      <c r="FU88" s="19"/>
      <c r="FV88" s="19"/>
      <c r="FW88" s="19"/>
      <c r="FX88" s="19"/>
      <c r="FY88" s="19"/>
      <c r="FZ88" s="19"/>
      <c r="GA88" s="19"/>
      <c r="GB88" s="19"/>
      <c r="GC88" s="19"/>
      <c r="GD88" s="19"/>
      <c r="GE88" s="19"/>
      <c r="GF88" s="19"/>
      <c r="GG88" s="19"/>
      <c r="GH88" s="19"/>
      <c r="GI88" s="19"/>
      <c r="GJ88" s="19"/>
      <c r="GK88" s="19"/>
      <c r="GL88" s="19"/>
      <c r="GM88" s="19"/>
      <c r="GN88" s="19"/>
      <c r="GO88" s="19"/>
      <c r="GP88" s="19"/>
      <c r="GQ88" s="19"/>
      <c r="GR88" s="19"/>
      <c r="GS88" s="19"/>
      <c r="GT88" s="19"/>
      <c r="GU88" s="19"/>
      <c r="GV88" s="19"/>
      <c r="GW88" s="19"/>
      <c r="GX88" s="19"/>
      <c r="GY88" s="19"/>
      <c r="GZ88" s="19"/>
      <c r="HA88" s="19"/>
      <c r="HB88" s="19"/>
      <c r="HC88" s="19"/>
      <c r="HD88" s="19"/>
      <c r="HE88" s="19"/>
      <c r="HF88" s="19"/>
      <c r="HG88" s="19"/>
      <c r="HH88" s="19"/>
      <c r="HI88" s="19"/>
      <c r="HJ88" s="19"/>
      <c r="HK88" s="19"/>
      <c r="HL88" s="19"/>
      <c r="HM88" s="19"/>
      <c r="HN88" s="19"/>
      <c r="HO88" s="19"/>
      <c r="HP88" s="19"/>
      <c r="HQ88" s="19"/>
      <c r="HR88" s="19"/>
      <c r="HS88" s="19"/>
      <c r="HT88" s="19"/>
      <c r="HU88" s="19"/>
      <c r="HV88" s="19"/>
      <c r="HW88" s="19"/>
      <c r="HX88" s="19"/>
      <c r="HY88" s="19"/>
      <c r="HZ88" s="19"/>
      <c r="IA88" s="19"/>
      <c r="IB88" s="19"/>
      <c r="IC88" s="19"/>
      <c r="ID88" s="19"/>
      <c r="IE88" s="19"/>
      <c r="IF88" s="19"/>
      <c r="IG88" s="19"/>
      <c r="IH88" s="19"/>
      <c r="II88" s="19"/>
      <c r="IJ88" s="19"/>
      <c r="IK88" s="19"/>
      <c r="IL88" s="19"/>
      <c r="IM88" s="19"/>
      <c r="IN88" s="19"/>
      <c r="IO88" s="19"/>
      <c r="IP88" s="19"/>
      <c r="IQ88" s="19"/>
      <c r="IR88" s="19"/>
      <c r="IS88" s="19"/>
      <c r="IT88" s="19"/>
      <c r="IU88" s="19"/>
      <c r="IV88" s="19"/>
      <c r="IW88" s="19"/>
    </row>
    <row r="89" spans="1:257">
      <c r="A89" s="16" t="s">
        <v>103</v>
      </c>
      <c r="B89" s="21" t="str">
        <f>VLOOKUP(A89,Sheet1!$A$1:$B$242,2,FALSE)</f>
        <v>주주자본합계</v>
      </c>
      <c r="C89" s="20">
        <v>1328033</v>
      </c>
      <c r="D89" s="20">
        <v>4683668</v>
      </c>
      <c r="E89" s="20">
        <v>14686524</v>
      </c>
      <c r="F89" s="20">
        <v>20332333</v>
      </c>
      <c r="G89" s="20">
        <v>22698465</v>
      </c>
      <c r="H89" s="20">
        <v>33690304</v>
      </c>
      <c r="I89" s="20">
        <v>33690304</v>
      </c>
      <c r="J89" s="20">
        <v>46229356</v>
      </c>
      <c r="K89" s="20">
        <v>53369242</v>
      </c>
      <c r="L89" s="20">
        <v>90014653</v>
      </c>
      <c r="M89" s="20">
        <v>90014653</v>
      </c>
      <c r="N89" s="20">
        <v>90014653</v>
      </c>
      <c r="O89" s="20">
        <v>90014653</v>
      </c>
      <c r="P89" s="20">
        <v>90014653</v>
      </c>
      <c r="Q89" s="20">
        <v>90014653</v>
      </c>
      <c r="R89" s="20">
        <v>90014653</v>
      </c>
      <c r="S89" s="20">
        <v>90014653</v>
      </c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  <c r="FO89" s="19"/>
      <c r="FP89" s="19"/>
      <c r="FQ89" s="19"/>
      <c r="FR89" s="19"/>
      <c r="FS89" s="19"/>
      <c r="FT89" s="19"/>
      <c r="FU89" s="19"/>
      <c r="FV89" s="19"/>
      <c r="FW89" s="19"/>
      <c r="FX89" s="19"/>
      <c r="FY89" s="19"/>
      <c r="FZ89" s="19"/>
      <c r="GA89" s="19"/>
      <c r="GB89" s="19"/>
      <c r="GC89" s="19"/>
      <c r="GD89" s="19"/>
      <c r="GE89" s="19"/>
      <c r="GF89" s="19"/>
      <c r="GG89" s="19"/>
      <c r="GH89" s="19"/>
      <c r="GI89" s="19"/>
      <c r="GJ89" s="19"/>
      <c r="GK89" s="19"/>
      <c r="GL89" s="19"/>
      <c r="GM89" s="19"/>
      <c r="GN89" s="19"/>
      <c r="GO89" s="19"/>
      <c r="GP89" s="19"/>
      <c r="GQ89" s="19"/>
      <c r="GR89" s="19"/>
      <c r="GS89" s="19"/>
      <c r="GT89" s="19"/>
      <c r="GU89" s="19"/>
      <c r="GV89" s="19"/>
      <c r="GW89" s="19"/>
      <c r="GX89" s="19"/>
      <c r="GY89" s="19"/>
      <c r="GZ89" s="19"/>
      <c r="HA89" s="19"/>
      <c r="HB89" s="19"/>
      <c r="HC89" s="19"/>
      <c r="HD89" s="19"/>
      <c r="HE89" s="19"/>
      <c r="HF89" s="19"/>
      <c r="HG89" s="19"/>
      <c r="HH89" s="19"/>
      <c r="HI89" s="19"/>
      <c r="HJ89" s="19"/>
      <c r="HK89" s="19"/>
      <c r="HL89" s="19"/>
      <c r="HM89" s="19"/>
      <c r="HN89" s="19"/>
      <c r="HO89" s="19"/>
      <c r="HP89" s="19"/>
      <c r="HQ89" s="19"/>
      <c r="HR89" s="19"/>
      <c r="HS89" s="19"/>
      <c r="HT89" s="19"/>
      <c r="HU89" s="19"/>
      <c r="HV89" s="19"/>
      <c r="HW89" s="19"/>
      <c r="HX89" s="19"/>
      <c r="HY89" s="19"/>
      <c r="HZ89" s="19"/>
      <c r="IA89" s="19"/>
      <c r="IB89" s="19"/>
      <c r="IC89" s="19"/>
      <c r="ID89" s="19"/>
      <c r="IE89" s="19"/>
      <c r="IF89" s="19"/>
      <c r="IG89" s="19"/>
      <c r="IH89" s="19"/>
      <c r="II89" s="19"/>
      <c r="IJ89" s="19"/>
      <c r="IK89" s="19"/>
      <c r="IL89" s="19"/>
      <c r="IM89" s="19"/>
      <c r="IN89" s="19"/>
      <c r="IO89" s="19"/>
      <c r="IP89" s="19"/>
      <c r="IQ89" s="19"/>
      <c r="IR89" s="19"/>
      <c r="IS89" s="19"/>
      <c r="IT89" s="19"/>
      <c r="IU89" s="19"/>
      <c r="IV89" s="19"/>
      <c r="IW89" s="19"/>
    </row>
    <row r="90" spans="1:257">
      <c r="A90" s="16" t="s">
        <v>104</v>
      </c>
      <c r="B90" s="21" t="str">
        <f>VLOOKUP(A90,Sheet1!$A$1:$B$242,2,FALSE)</f>
        <v>[평가･환산차액등]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9"/>
      <c r="GY90" s="19"/>
      <c r="GZ90" s="19"/>
      <c r="HA90" s="19"/>
      <c r="HB90" s="19"/>
      <c r="HC90" s="19"/>
      <c r="HD90" s="19"/>
      <c r="HE90" s="19"/>
      <c r="HF90" s="19"/>
      <c r="HG90" s="19"/>
      <c r="HH90" s="19"/>
      <c r="HI90" s="19"/>
      <c r="HJ90" s="19"/>
      <c r="HK90" s="19"/>
      <c r="HL90" s="19"/>
      <c r="HM90" s="19"/>
      <c r="HN90" s="19"/>
      <c r="HO90" s="19"/>
      <c r="HP90" s="19"/>
      <c r="HQ90" s="19"/>
      <c r="HR90" s="19"/>
      <c r="HS90" s="19"/>
      <c r="HT90" s="19"/>
      <c r="HU90" s="19"/>
      <c r="HV90" s="19"/>
      <c r="HW90" s="19"/>
      <c r="HX90" s="19"/>
      <c r="HY90" s="19"/>
      <c r="HZ90" s="19"/>
      <c r="IA90" s="19"/>
      <c r="IB90" s="19"/>
      <c r="IC90" s="19"/>
      <c r="ID90" s="19"/>
      <c r="IE90" s="19"/>
      <c r="IF90" s="19"/>
      <c r="IG90" s="19"/>
      <c r="IH90" s="19"/>
      <c r="II90" s="19"/>
      <c r="IJ90" s="19"/>
      <c r="IK90" s="19"/>
      <c r="IL90" s="19"/>
      <c r="IM90" s="19"/>
      <c r="IN90" s="19"/>
      <c r="IO90" s="19"/>
      <c r="IP90" s="19"/>
      <c r="IQ90" s="19"/>
      <c r="IR90" s="19"/>
      <c r="IS90" s="19"/>
      <c r="IT90" s="19"/>
      <c r="IU90" s="19"/>
      <c r="IV90" s="19"/>
      <c r="IW90" s="19"/>
    </row>
    <row r="91" spans="1:257">
      <c r="A91" s="16" t="s">
        <v>105</v>
      </c>
      <c r="B91" s="21" t="str">
        <f>VLOOKUP(A91,Sheet1!$A$1:$B$242,2,FALSE)</f>
        <v>평가･환산차액등합계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  <c r="FR91" s="19"/>
      <c r="FS91" s="19"/>
      <c r="FT91" s="19"/>
      <c r="FU91" s="19"/>
      <c r="FV91" s="19"/>
      <c r="FW91" s="19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9"/>
      <c r="GY91" s="19"/>
      <c r="GZ91" s="19"/>
      <c r="HA91" s="19"/>
      <c r="HB91" s="19"/>
      <c r="HC91" s="19"/>
      <c r="HD91" s="19"/>
      <c r="HE91" s="19"/>
      <c r="HF91" s="19"/>
      <c r="HG91" s="19"/>
      <c r="HH91" s="19"/>
      <c r="HI91" s="19"/>
      <c r="HJ91" s="19"/>
      <c r="HK91" s="19"/>
      <c r="HL91" s="19"/>
      <c r="HM91" s="19"/>
      <c r="HN91" s="19"/>
      <c r="HO91" s="19"/>
      <c r="HP91" s="19"/>
      <c r="HQ91" s="19"/>
      <c r="HR91" s="19"/>
      <c r="HS91" s="19"/>
      <c r="HT91" s="19"/>
      <c r="HU91" s="19"/>
      <c r="HV91" s="19"/>
      <c r="HW91" s="19"/>
      <c r="HX91" s="19"/>
      <c r="HY91" s="19"/>
      <c r="HZ91" s="19"/>
      <c r="IA91" s="19"/>
      <c r="IB91" s="19"/>
      <c r="IC91" s="19"/>
      <c r="ID91" s="19"/>
      <c r="IE91" s="19"/>
      <c r="IF91" s="19"/>
      <c r="IG91" s="19"/>
      <c r="IH91" s="19"/>
      <c r="II91" s="19"/>
      <c r="IJ91" s="19"/>
      <c r="IK91" s="19"/>
      <c r="IL91" s="19"/>
      <c r="IM91" s="19"/>
      <c r="IN91" s="19"/>
      <c r="IO91" s="19"/>
      <c r="IP91" s="19"/>
      <c r="IQ91" s="19"/>
      <c r="IR91" s="19"/>
      <c r="IS91" s="19"/>
      <c r="IT91" s="19"/>
      <c r="IU91" s="19"/>
      <c r="IV91" s="19"/>
      <c r="IW91" s="19"/>
    </row>
    <row r="92" spans="1:257">
      <c r="A92" s="16" t="s">
        <v>106</v>
      </c>
      <c r="B92" s="21" t="str">
        <f>VLOOKUP(A92,Sheet1!$A$1:$B$242,2,FALSE)</f>
        <v>[신주예약권]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  <c r="FR92" s="19"/>
      <c r="FS92" s="19"/>
      <c r="FT92" s="19"/>
      <c r="FU92" s="19"/>
      <c r="FV92" s="19"/>
      <c r="FW92" s="19"/>
      <c r="FX92" s="19"/>
      <c r="FY92" s="19"/>
      <c r="FZ92" s="19"/>
      <c r="GA92" s="19"/>
      <c r="GB92" s="19"/>
      <c r="GC92" s="19"/>
      <c r="GD92" s="19"/>
      <c r="GE92" s="19"/>
      <c r="GF92" s="19"/>
      <c r="GG92" s="19"/>
      <c r="GH92" s="19"/>
      <c r="GI92" s="19"/>
      <c r="GJ92" s="19"/>
      <c r="GK92" s="19"/>
      <c r="GL92" s="19"/>
      <c r="GM92" s="19"/>
      <c r="GN92" s="19"/>
      <c r="GO92" s="19"/>
      <c r="GP92" s="19"/>
      <c r="GQ92" s="19"/>
      <c r="GR92" s="19"/>
      <c r="GS92" s="19"/>
      <c r="GT92" s="19"/>
      <c r="GU92" s="19"/>
      <c r="GV92" s="19"/>
      <c r="GW92" s="19"/>
      <c r="GX92" s="19"/>
      <c r="GY92" s="19"/>
      <c r="GZ92" s="19"/>
      <c r="HA92" s="19"/>
      <c r="HB92" s="19"/>
      <c r="HC92" s="19"/>
      <c r="HD92" s="19"/>
      <c r="HE92" s="19"/>
      <c r="HF92" s="19"/>
      <c r="HG92" s="19"/>
      <c r="HH92" s="19"/>
      <c r="HI92" s="19"/>
      <c r="HJ92" s="19"/>
      <c r="HK92" s="19"/>
      <c r="HL92" s="19"/>
      <c r="HM92" s="19"/>
      <c r="HN92" s="19"/>
      <c r="HO92" s="19"/>
      <c r="HP92" s="19"/>
      <c r="HQ92" s="19"/>
      <c r="HR92" s="19"/>
      <c r="HS92" s="19"/>
      <c r="HT92" s="19"/>
      <c r="HU92" s="19"/>
      <c r="HV92" s="19"/>
      <c r="HW92" s="19"/>
      <c r="HX92" s="19"/>
      <c r="HY92" s="19"/>
      <c r="HZ92" s="19"/>
      <c r="IA92" s="19"/>
      <c r="IB92" s="19"/>
      <c r="IC92" s="19"/>
      <c r="ID92" s="19"/>
      <c r="IE92" s="19"/>
      <c r="IF92" s="19"/>
      <c r="IG92" s="19"/>
      <c r="IH92" s="19"/>
      <c r="II92" s="19"/>
      <c r="IJ92" s="19"/>
      <c r="IK92" s="19"/>
      <c r="IL92" s="19"/>
      <c r="IM92" s="19"/>
      <c r="IN92" s="19"/>
      <c r="IO92" s="19"/>
      <c r="IP92" s="19"/>
      <c r="IQ92" s="19"/>
      <c r="IR92" s="19"/>
      <c r="IS92" s="19"/>
      <c r="IT92" s="19"/>
      <c r="IU92" s="19"/>
      <c r="IV92" s="19"/>
      <c r="IW92" s="19"/>
    </row>
    <row r="93" spans="1:257">
      <c r="A93" s="16" t="s">
        <v>107</v>
      </c>
      <c r="B93" s="21" t="str">
        <f>VLOOKUP(A93,Sheet1!$A$1:$B$242,2,FALSE)</f>
        <v>신주예약권합계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9"/>
      <c r="GY93" s="19"/>
      <c r="GZ93" s="19"/>
      <c r="HA93" s="19"/>
      <c r="HB93" s="19"/>
      <c r="HC93" s="19"/>
      <c r="HD93" s="19"/>
      <c r="HE93" s="19"/>
      <c r="HF93" s="19"/>
      <c r="HG93" s="19"/>
      <c r="HH93" s="19"/>
      <c r="HI93" s="19"/>
      <c r="HJ93" s="19"/>
      <c r="HK93" s="19"/>
      <c r="HL93" s="19"/>
      <c r="HM93" s="19"/>
      <c r="HN93" s="19"/>
      <c r="HO93" s="19"/>
      <c r="HP93" s="19"/>
      <c r="HQ93" s="19"/>
      <c r="HR93" s="19"/>
      <c r="HS93" s="19"/>
      <c r="HT93" s="19"/>
      <c r="HU93" s="19"/>
      <c r="HV93" s="19"/>
      <c r="HW93" s="19"/>
      <c r="HX93" s="19"/>
      <c r="HY93" s="19"/>
      <c r="HZ93" s="19"/>
      <c r="IA93" s="19"/>
      <c r="IB93" s="19"/>
      <c r="IC93" s="19"/>
      <c r="ID93" s="19"/>
      <c r="IE93" s="19"/>
      <c r="IF93" s="19"/>
      <c r="IG93" s="19"/>
      <c r="IH93" s="19"/>
      <c r="II93" s="19"/>
      <c r="IJ93" s="19"/>
      <c r="IK93" s="19"/>
      <c r="IL93" s="19"/>
      <c r="IM93" s="19"/>
      <c r="IN93" s="19"/>
      <c r="IO93" s="19"/>
      <c r="IP93" s="19"/>
      <c r="IQ93" s="19"/>
      <c r="IR93" s="19"/>
      <c r="IS93" s="19"/>
      <c r="IT93" s="19"/>
      <c r="IU93" s="19"/>
      <c r="IV93" s="19"/>
      <c r="IW93" s="19"/>
    </row>
    <row r="94" spans="1:257">
      <c r="A94" s="16" t="s">
        <v>108</v>
      </c>
      <c r="B94" s="21" t="str">
        <f>VLOOKUP(A94,Sheet1!$A$1:$B$242,2,FALSE)</f>
        <v>순자산합계</v>
      </c>
      <c r="C94" s="20">
        <v>1328033</v>
      </c>
      <c r="D94" s="20">
        <v>4683668</v>
      </c>
      <c r="E94" s="20">
        <v>14686524</v>
      </c>
      <c r="F94" s="20">
        <v>20332333</v>
      </c>
      <c r="G94" s="20">
        <v>22698465</v>
      </c>
      <c r="H94" s="20">
        <v>33690304</v>
      </c>
      <c r="I94" s="20">
        <v>33690304</v>
      </c>
      <c r="J94" s="20">
        <v>46229356</v>
      </c>
      <c r="K94" s="20">
        <v>53369242</v>
      </c>
      <c r="L94" s="20">
        <v>90014653</v>
      </c>
      <c r="M94" s="20">
        <v>90014653</v>
      </c>
      <c r="N94" s="20">
        <v>90014653</v>
      </c>
      <c r="O94" s="20">
        <v>90014653</v>
      </c>
      <c r="P94" s="20">
        <v>90014653</v>
      </c>
      <c r="Q94" s="20">
        <v>90014653</v>
      </c>
      <c r="R94" s="20">
        <v>90014653</v>
      </c>
      <c r="S94" s="20">
        <v>90014653</v>
      </c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  <c r="FR94" s="19"/>
      <c r="FS94" s="19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9"/>
      <c r="GY94" s="19"/>
      <c r="GZ94" s="19"/>
      <c r="HA94" s="19"/>
      <c r="HB94" s="19"/>
      <c r="HC94" s="19"/>
      <c r="HD94" s="19"/>
      <c r="HE94" s="19"/>
      <c r="HF94" s="19"/>
      <c r="HG94" s="19"/>
      <c r="HH94" s="19"/>
      <c r="HI94" s="19"/>
      <c r="HJ94" s="19"/>
      <c r="HK94" s="19"/>
      <c r="HL94" s="19"/>
      <c r="HM94" s="19"/>
      <c r="HN94" s="19"/>
      <c r="HO94" s="19"/>
      <c r="HP94" s="19"/>
      <c r="HQ94" s="19"/>
      <c r="HR94" s="19"/>
      <c r="HS94" s="19"/>
      <c r="HT94" s="19"/>
      <c r="HU94" s="19"/>
      <c r="HV94" s="19"/>
      <c r="HW94" s="19"/>
      <c r="HX94" s="19"/>
      <c r="HY94" s="19"/>
      <c r="HZ94" s="19"/>
      <c r="IA94" s="19"/>
      <c r="IB94" s="19"/>
      <c r="IC94" s="19"/>
      <c r="ID94" s="19"/>
      <c r="IE94" s="19"/>
      <c r="IF94" s="19"/>
      <c r="IG94" s="19"/>
      <c r="IH94" s="19"/>
      <c r="II94" s="19"/>
      <c r="IJ94" s="19"/>
      <c r="IK94" s="19"/>
      <c r="IL94" s="19"/>
      <c r="IM94" s="19"/>
      <c r="IN94" s="19"/>
      <c r="IO94" s="19"/>
      <c r="IP94" s="19"/>
      <c r="IQ94" s="19"/>
      <c r="IR94" s="19"/>
      <c r="IS94" s="19"/>
      <c r="IT94" s="19"/>
      <c r="IU94" s="19"/>
      <c r="IV94" s="19"/>
      <c r="IW94" s="19"/>
    </row>
    <row r="95" spans="1:257">
      <c r="A95" s="16" t="s">
        <v>109</v>
      </c>
      <c r="B95" s="21" t="str">
        <f>VLOOKUP(A95,Sheet1!$A$1:$B$242,2,FALSE)</f>
        <v>부채･순자산합계</v>
      </c>
      <c r="C95" s="20">
        <v>126552396</v>
      </c>
      <c r="D95" s="20">
        <v>124102805</v>
      </c>
      <c r="E95" s="20">
        <v>133088013</v>
      </c>
      <c r="F95" s="20">
        <v>139543296</v>
      </c>
      <c r="G95" s="20">
        <v>147755050</v>
      </c>
      <c r="H95" s="20">
        <v>152593515</v>
      </c>
      <c r="I95" s="20">
        <v>152593515</v>
      </c>
      <c r="J95" s="20">
        <v>173722017</v>
      </c>
      <c r="K95" s="20">
        <v>182446006</v>
      </c>
      <c r="L95" s="20">
        <v>209555554</v>
      </c>
      <c r="M95" s="20">
        <v>209555554</v>
      </c>
      <c r="N95" s="20">
        <v>209555554</v>
      </c>
      <c r="O95" s="20">
        <v>209555554</v>
      </c>
      <c r="P95" s="20">
        <v>209555554</v>
      </c>
      <c r="Q95" s="20">
        <v>209555554</v>
      </c>
      <c r="R95" s="20">
        <v>209555554</v>
      </c>
      <c r="S95" s="20">
        <v>209555554</v>
      </c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  <c r="FR95" s="19"/>
      <c r="FS95" s="19"/>
      <c r="FT95" s="19"/>
      <c r="FU95" s="19"/>
      <c r="FV95" s="19"/>
      <c r="FW95" s="19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9"/>
      <c r="GY95" s="19"/>
      <c r="GZ95" s="19"/>
      <c r="HA95" s="19"/>
      <c r="HB95" s="19"/>
      <c r="HC95" s="19"/>
      <c r="HD95" s="19"/>
      <c r="HE95" s="19"/>
      <c r="HF95" s="19"/>
      <c r="HG95" s="19"/>
      <c r="HH95" s="19"/>
      <c r="HI95" s="19"/>
      <c r="HJ95" s="19"/>
      <c r="HK95" s="19"/>
      <c r="HL95" s="19"/>
      <c r="HM95" s="19"/>
      <c r="HN95" s="19"/>
      <c r="HO95" s="19"/>
      <c r="HP95" s="19"/>
      <c r="HQ95" s="19"/>
      <c r="HR95" s="19"/>
      <c r="HS95" s="19"/>
      <c r="HT95" s="19"/>
      <c r="HU95" s="19"/>
      <c r="HV95" s="19"/>
      <c r="HW95" s="19"/>
      <c r="HX95" s="19"/>
      <c r="HY95" s="19"/>
      <c r="HZ95" s="19"/>
      <c r="IA95" s="19"/>
      <c r="IB95" s="19"/>
      <c r="IC95" s="19"/>
      <c r="ID95" s="19"/>
      <c r="IE95" s="19"/>
      <c r="IF95" s="19"/>
      <c r="IG95" s="19"/>
      <c r="IH95" s="19"/>
      <c r="II95" s="19"/>
      <c r="IJ95" s="19"/>
      <c r="IK95" s="19"/>
      <c r="IL95" s="19"/>
      <c r="IM95" s="19"/>
      <c r="IN95" s="19"/>
      <c r="IO95" s="19"/>
      <c r="IP95" s="19"/>
      <c r="IQ95" s="19"/>
      <c r="IR95" s="19"/>
      <c r="IS95" s="19"/>
      <c r="IT95" s="19"/>
      <c r="IU95" s="19"/>
      <c r="IV95" s="19"/>
      <c r="IW95" s="19"/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W74"/>
  <sheetViews>
    <sheetView tabSelected="1" zoomScaleNormal="100" workbookViewId="0">
      <pane xSplit="1" ySplit="6" topLeftCell="B59" activePane="bottomRight" state="frozen"/>
      <selection pane="bottomRight" activeCell="C64" sqref="C64"/>
      <selection pane="bottomLeft" activeCell="A2" sqref="A2"/>
      <selection pane="topRight" activeCell="A2" sqref="A2"/>
    </sheetView>
  </sheetViews>
  <sheetFormatPr defaultRowHeight="15.75"/>
  <cols>
    <col min="1" max="1" width="30.625" style="17" bestFit="1" customWidth="1"/>
    <col min="2" max="2" width="30.625" style="17" customWidth="1"/>
    <col min="3" max="8" width="12.125" style="17" bestFit="1" customWidth="1"/>
    <col min="9" max="9" width="18.25" style="17" bestFit="1" customWidth="1"/>
    <col min="10" max="11" width="12.125" style="17" bestFit="1" customWidth="1"/>
    <col min="12" max="12" width="14.375" style="17" bestFit="1" customWidth="1"/>
    <col min="13" max="15" width="7.125" style="17" bestFit="1" customWidth="1"/>
    <col min="16" max="17" width="18.25" style="17" bestFit="1" customWidth="1"/>
    <col min="18" max="19" width="16" style="17" bestFit="1" customWidth="1"/>
    <col min="20" max="31" width="16.625" style="17" customWidth="1"/>
    <col min="32" max="32" width="9" style="17" customWidth="1"/>
    <col min="33" max="16384" width="9" style="17"/>
  </cols>
  <sheetData>
    <row r="1" spans="1:257">
      <c r="A1" s="16" t="s">
        <v>0</v>
      </c>
    </row>
    <row r="2" spans="1:257">
      <c r="A2" s="16"/>
    </row>
    <row r="3" spans="1:257">
      <c r="A3" s="16" t="s">
        <v>1</v>
      </c>
    </row>
    <row r="4" spans="1:257">
      <c r="A4" s="16" t="s">
        <v>2</v>
      </c>
    </row>
    <row r="5" spans="1:257">
      <c r="A5" s="16"/>
    </row>
    <row r="6" spans="1:257">
      <c r="A6" s="18" t="s">
        <v>3</v>
      </c>
      <c r="B6" s="21" t="str">
        <f>VLOOKUP(A6,Sheet1!$A$1:$B$242,2,FALSE)</f>
        <v>계정과목</v>
      </c>
      <c r="C6" s="18" t="s">
        <v>4</v>
      </c>
      <c r="D6" s="18" t="s">
        <v>5</v>
      </c>
      <c r="E6" s="18" t="s">
        <v>6</v>
      </c>
      <c r="F6" s="18" t="s">
        <v>7</v>
      </c>
      <c r="G6" s="18" t="s">
        <v>8</v>
      </c>
      <c r="H6" s="18" t="s">
        <v>9</v>
      </c>
      <c r="I6" s="18" t="s">
        <v>10</v>
      </c>
      <c r="J6" s="18" t="s">
        <v>11</v>
      </c>
      <c r="K6" s="18" t="s">
        <v>12</v>
      </c>
      <c r="L6" s="18" t="s">
        <v>13</v>
      </c>
      <c r="M6" s="18" t="s">
        <v>14</v>
      </c>
      <c r="N6" s="18" t="s">
        <v>15</v>
      </c>
      <c r="O6" s="18" t="s">
        <v>16</v>
      </c>
      <c r="P6" s="18" t="s">
        <v>17</v>
      </c>
      <c r="Q6" s="18" t="s">
        <v>18</v>
      </c>
      <c r="R6" s="18" t="s">
        <v>19</v>
      </c>
      <c r="S6" s="18" t="s">
        <v>20</v>
      </c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</row>
    <row r="7" spans="1:257">
      <c r="A7" s="16" t="s">
        <v>110</v>
      </c>
      <c r="B7" s="21" t="str">
        <f>VLOOKUP(A7,Sheet1!$A$1:$B$242,2,FALSE)</f>
        <v>[매출]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</row>
    <row r="8" spans="1:257">
      <c r="A8" s="16" t="s">
        <v>111</v>
      </c>
      <c r="B8" s="21" t="str">
        <f>VLOOKUP(A8,Sheet1!$A$1:$B$242,2,FALSE)</f>
        <v>매출</v>
      </c>
      <c r="C8" s="20">
        <v>33690019</v>
      </c>
      <c r="D8" s="20">
        <v>35539299</v>
      </c>
      <c r="E8" s="20">
        <v>49636275</v>
      </c>
      <c r="F8" s="20">
        <v>42213072</v>
      </c>
      <c r="G8" s="20">
        <v>38221057</v>
      </c>
      <c r="H8" s="20">
        <v>62293873</v>
      </c>
      <c r="I8" s="20">
        <v>261593595</v>
      </c>
      <c r="J8" s="20">
        <v>55454255</v>
      </c>
      <c r="K8" s="20">
        <v>60410575</v>
      </c>
      <c r="L8" s="20">
        <v>97751542</v>
      </c>
      <c r="M8" s="20">
        <v>0</v>
      </c>
      <c r="N8" s="20">
        <v>0</v>
      </c>
      <c r="O8" s="20">
        <v>0</v>
      </c>
      <c r="P8" s="20">
        <v>213616372</v>
      </c>
      <c r="Q8" s="20">
        <v>475209967</v>
      </c>
      <c r="R8" s="20">
        <v>0</v>
      </c>
      <c r="S8" s="20">
        <v>475209967</v>
      </c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</row>
    <row r="9" spans="1:257">
      <c r="A9" s="16" t="s">
        <v>112</v>
      </c>
      <c r="B9" s="21" t="str">
        <f>VLOOKUP(A9,Sheet1!$A$1:$B$242,2,FALSE)</f>
        <v>매출환입</v>
      </c>
      <c r="C9" s="20">
        <v>398597</v>
      </c>
      <c r="D9" s="20">
        <v>263602</v>
      </c>
      <c r="E9" s="20">
        <v>179902</v>
      </c>
      <c r="F9" s="20">
        <v>245075</v>
      </c>
      <c r="G9" s="20">
        <v>116290</v>
      </c>
      <c r="H9" s="20">
        <v>186517</v>
      </c>
      <c r="I9" s="20">
        <v>1389983</v>
      </c>
      <c r="J9" s="20">
        <v>238452</v>
      </c>
      <c r="K9" s="20">
        <v>259314</v>
      </c>
      <c r="L9" s="20">
        <v>366735</v>
      </c>
      <c r="M9" s="20">
        <v>0</v>
      </c>
      <c r="N9" s="20">
        <v>0</v>
      </c>
      <c r="O9" s="20">
        <v>0</v>
      </c>
      <c r="P9" s="20">
        <v>864501</v>
      </c>
      <c r="Q9" s="20">
        <v>2254484</v>
      </c>
      <c r="R9" s="20">
        <v>0</v>
      </c>
      <c r="S9" s="20">
        <v>2254484</v>
      </c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</row>
    <row r="10" spans="1:257" s="28" customFormat="1">
      <c r="A10" s="24" t="s">
        <v>113</v>
      </c>
      <c r="B10" s="25" t="str">
        <f>VLOOKUP(A10,Sheet1!$A$1:$B$242,2,FALSE)</f>
        <v>매출합계</v>
      </c>
      <c r="C10" s="26">
        <v>33291422</v>
      </c>
      <c r="D10" s="26">
        <v>35275697</v>
      </c>
      <c r="E10" s="26">
        <v>49456373</v>
      </c>
      <c r="F10" s="26">
        <v>41967997</v>
      </c>
      <c r="G10" s="26">
        <v>38104767</v>
      </c>
      <c r="H10" s="26">
        <v>62107356</v>
      </c>
      <c r="I10" s="26">
        <v>260203612</v>
      </c>
      <c r="J10" s="26">
        <v>55215803</v>
      </c>
      <c r="K10" s="26">
        <v>60151261</v>
      </c>
      <c r="L10" s="26">
        <v>97384807</v>
      </c>
      <c r="M10" s="26">
        <v>0</v>
      </c>
      <c r="N10" s="26">
        <v>0</v>
      </c>
      <c r="O10" s="26">
        <v>0</v>
      </c>
      <c r="P10" s="26">
        <v>212751871</v>
      </c>
      <c r="Q10" s="26">
        <v>472955483</v>
      </c>
      <c r="R10" s="26">
        <v>0</v>
      </c>
      <c r="S10" s="26">
        <v>472955483</v>
      </c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spans="1:257">
      <c r="A11" s="16" t="s">
        <v>114</v>
      </c>
      <c r="B11" s="21" t="str">
        <f>VLOOKUP(A11,Sheet1!$A$1:$B$242,2,FALSE)</f>
        <v>[매출원가]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</row>
    <row r="12" spans="1:257">
      <c r="A12" s="16" t="s">
        <v>115</v>
      </c>
      <c r="B12" s="21" t="str">
        <f>VLOOKUP(A12,Sheet1!$A$1:$B$242,2,FALSE)</f>
        <v>기초상품재고액</v>
      </c>
      <c r="C12" s="20">
        <v>72910492</v>
      </c>
      <c r="D12" s="20">
        <v>75443317</v>
      </c>
      <c r="E12" s="20">
        <v>72214523</v>
      </c>
      <c r="F12" s="20">
        <v>63829945</v>
      </c>
      <c r="G12" s="20">
        <v>68176813</v>
      </c>
      <c r="H12" s="20">
        <v>67522901</v>
      </c>
      <c r="I12" s="20">
        <v>420097991</v>
      </c>
      <c r="J12" s="20">
        <v>47297814</v>
      </c>
      <c r="K12" s="20">
        <v>58667847</v>
      </c>
      <c r="L12" s="20">
        <v>-453153160</v>
      </c>
      <c r="M12" s="20">
        <v>0</v>
      </c>
      <c r="N12" s="20">
        <v>0</v>
      </c>
      <c r="O12" s="20">
        <v>0</v>
      </c>
      <c r="P12" s="20">
        <v>-347187499</v>
      </c>
      <c r="Q12" s="20">
        <v>72910492</v>
      </c>
      <c r="R12" s="20">
        <v>0</v>
      </c>
      <c r="S12" s="20">
        <v>72910492</v>
      </c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</row>
    <row r="13" spans="1:257">
      <c r="A13" s="16" t="s">
        <v>115</v>
      </c>
      <c r="B13" s="21" t="str">
        <f>VLOOKUP(A13,Sheet1!$A$1:$B$242,2,FALSE)</f>
        <v>기초상품재고액</v>
      </c>
      <c r="C13" s="20">
        <v>72910492</v>
      </c>
      <c r="D13" s="20">
        <v>75443317</v>
      </c>
      <c r="E13" s="20">
        <v>72214523</v>
      </c>
      <c r="F13" s="20">
        <v>63829945</v>
      </c>
      <c r="G13" s="20">
        <v>68176813</v>
      </c>
      <c r="H13" s="20">
        <v>67522901</v>
      </c>
      <c r="I13" s="20">
        <v>420097991</v>
      </c>
      <c r="J13" s="20">
        <v>47297814</v>
      </c>
      <c r="K13" s="20">
        <v>58667847</v>
      </c>
      <c r="L13" s="20">
        <v>-453153160</v>
      </c>
      <c r="M13" s="20">
        <v>0</v>
      </c>
      <c r="N13" s="20">
        <v>0</v>
      </c>
      <c r="O13" s="20">
        <v>0</v>
      </c>
      <c r="P13" s="20">
        <v>-347187499</v>
      </c>
      <c r="Q13" s="20">
        <v>72910492</v>
      </c>
      <c r="R13" s="20">
        <v>0</v>
      </c>
      <c r="S13" s="20">
        <v>72910492</v>
      </c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</row>
    <row r="14" spans="1:257">
      <c r="A14" s="16" t="s">
        <v>116</v>
      </c>
      <c r="B14" s="21" t="str">
        <f>VLOOKUP(A14,Sheet1!$A$1:$B$242,2,FALSE)</f>
        <v>매입</v>
      </c>
      <c r="C14" s="20">
        <v>16061711</v>
      </c>
      <c r="D14" s="20">
        <v>10191346</v>
      </c>
      <c r="E14" s="20">
        <v>12106070</v>
      </c>
      <c r="F14" s="20">
        <v>21140128</v>
      </c>
      <c r="G14" s="20">
        <v>13143000</v>
      </c>
      <c r="H14" s="20">
        <v>8817768</v>
      </c>
      <c r="I14" s="20">
        <v>81460023</v>
      </c>
      <c r="J14" s="20">
        <v>32489688</v>
      </c>
      <c r="K14" s="20">
        <v>29002842</v>
      </c>
      <c r="L14" s="20">
        <v>36781672</v>
      </c>
      <c r="M14" s="20">
        <v>0</v>
      </c>
      <c r="N14" s="20">
        <v>0</v>
      </c>
      <c r="O14" s="20">
        <v>0</v>
      </c>
      <c r="P14" s="20">
        <v>98274202</v>
      </c>
      <c r="Q14" s="20">
        <v>179734225</v>
      </c>
      <c r="R14" s="20">
        <v>0</v>
      </c>
      <c r="S14" s="20">
        <v>179734225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</row>
    <row r="15" spans="1:257">
      <c r="A15" s="16" t="s">
        <v>117</v>
      </c>
      <c r="B15" s="21" t="str">
        <f>VLOOKUP(A15,Sheet1!$A$1:$B$242,2,FALSE)</f>
        <v>매입제비용</v>
      </c>
      <c r="C15" s="20">
        <v>1476872</v>
      </c>
      <c r="D15" s="20">
        <v>1121690</v>
      </c>
      <c r="E15" s="20">
        <v>1143317</v>
      </c>
      <c r="F15" s="20">
        <v>1235990</v>
      </c>
      <c r="G15" s="20">
        <v>1326417</v>
      </c>
      <c r="H15" s="20">
        <v>977990</v>
      </c>
      <c r="I15" s="20">
        <v>7282276</v>
      </c>
      <c r="J15" s="20">
        <v>2348382</v>
      </c>
      <c r="K15" s="20">
        <v>2926291</v>
      </c>
      <c r="L15" s="20">
        <v>3139535</v>
      </c>
      <c r="M15" s="20">
        <v>0</v>
      </c>
      <c r="N15" s="20">
        <v>0</v>
      </c>
      <c r="O15" s="20">
        <v>0</v>
      </c>
      <c r="P15" s="20">
        <v>8414208</v>
      </c>
      <c r="Q15" s="20">
        <v>15696484</v>
      </c>
      <c r="R15" s="20">
        <v>0</v>
      </c>
      <c r="S15" s="20">
        <v>15696484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</row>
    <row r="16" spans="1:257">
      <c r="A16" s="16" t="s">
        <v>118</v>
      </c>
      <c r="B16" s="21" t="str">
        <f>VLOOKUP(A16,Sheet1!$A$1:$B$242,2,FALSE)</f>
        <v>당기상품매입액</v>
      </c>
      <c r="C16" s="20">
        <v>17538583</v>
      </c>
      <c r="D16" s="20">
        <v>11313036</v>
      </c>
      <c r="E16" s="20">
        <v>13249387</v>
      </c>
      <c r="F16" s="20">
        <v>22376118</v>
      </c>
      <c r="G16" s="20">
        <v>14469417</v>
      </c>
      <c r="H16" s="20">
        <v>9795758</v>
      </c>
      <c r="I16" s="20">
        <v>88742299</v>
      </c>
      <c r="J16" s="20">
        <v>34838070</v>
      </c>
      <c r="K16" s="20">
        <v>31929133</v>
      </c>
      <c r="L16" s="20">
        <v>39921207</v>
      </c>
      <c r="M16" s="20">
        <v>0</v>
      </c>
      <c r="N16" s="20">
        <v>0</v>
      </c>
      <c r="O16" s="20">
        <v>0</v>
      </c>
      <c r="P16" s="20">
        <v>106688410</v>
      </c>
      <c r="Q16" s="20">
        <v>195430709</v>
      </c>
      <c r="R16" s="20">
        <v>0</v>
      </c>
      <c r="S16" s="20">
        <v>195430709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</row>
    <row r="17" spans="1:257">
      <c r="A17" s="16" t="s">
        <v>119</v>
      </c>
      <c r="B17" s="21" t="str">
        <f>VLOOKUP(A17,Sheet1!$A$1:$B$242,2,FALSE)</f>
        <v>합계</v>
      </c>
      <c r="C17" s="20">
        <v>90449075</v>
      </c>
      <c r="D17" s="20">
        <v>86756353</v>
      </c>
      <c r="E17" s="20">
        <v>85463910</v>
      </c>
      <c r="F17" s="20">
        <v>86206063</v>
      </c>
      <c r="G17" s="20">
        <v>82646230</v>
      </c>
      <c r="H17" s="20">
        <v>77318659</v>
      </c>
      <c r="I17" s="20">
        <v>508840290</v>
      </c>
      <c r="J17" s="20">
        <v>82135884</v>
      </c>
      <c r="K17" s="20">
        <v>90596980</v>
      </c>
      <c r="L17" s="20">
        <v>-413231953</v>
      </c>
      <c r="M17" s="20">
        <v>0</v>
      </c>
      <c r="N17" s="20">
        <v>0</v>
      </c>
      <c r="O17" s="20">
        <v>0</v>
      </c>
      <c r="P17" s="20">
        <v>-240499089</v>
      </c>
      <c r="Q17" s="20">
        <v>268341201</v>
      </c>
      <c r="R17" s="20">
        <v>0</v>
      </c>
      <c r="S17" s="20">
        <v>268341201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</row>
    <row r="18" spans="1:257">
      <c r="A18" s="16" t="s">
        <v>120</v>
      </c>
      <c r="B18" s="21" t="str">
        <f>VLOOKUP(A18,Sheet1!$A$1:$B$242,2,FALSE)</f>
        <v>타계정전환</v>
      </c>
      <c r="C18" s="20">
        <v>348345</v>
      </c>
      <c r="D18" s="20">
        <v>312040</v>
      </c>
      <c r="E18" s="20">
        <v>203213</v>
      </c>
      <c r="F18" s="20">
        <v>321465</v>
      </c>
      <c r="G18" s="20">
        <v>332494</v>
      </c>
      <c r="H18" s="20">
        <v>398587</v>
      </c>
      <c r="I18" s="20">
        <v>1916144</v>
      </c>
      <c r="J18" s="20">
        <v>613306</v>
      </c>
      <c r="K18" s="20">
        <v>590023</v>
      </c>
      <c r="L18" s="20">
        <v>510941</v>
      </c>
      <c r="M18" s="20">
        <v>0</v>
      </c>
      <c r="N18" s="20">
        <v>0</v>
      </c>
      <c r="O18" s="20">
        <v>0</v>
      </c>
      <c r="P18" s="20">
        <v>1714270</v>
      </c>
      <c r="Q18" s="20">
        <v>3630414</v>
      </c>
      <c r="R18" s="20">
        <v>0</v>
      </c>
      <c r="S18" s="20">
        <v>3630414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</row>
    <row r="19" spans="1:257">
      <c r="A19" s="16" t="s">
        <v>121</v>
      </c>
      <c r="B19" s="21" t="str">
        <f>VLOOKUP(A19,Sheet1!$A$1:$B$242,2,FALSE)</f>
        <v>기말상품재고액</v>
      </c>
      <c r="C19" s="20">
        <v>75443317</v>
      </c>
      <c r="D19" s="20">
        <v>72214523</v>
      </c>
      <c r="E19" s="20">
        <v>63829945</v>
      </c>
      <c r="F19" s="20">
        <v>68176813</v>
      </c>
      <c r="G19" s="20">
        <v>67522901</v>
      </c>
      <c r="H19" s="20">
        <v>47297814</v>
      </c>
      <c r="I19" s="20">
        <v>394485313</v>
      </c>
      <c r="J19" s="20">
        <v>58667847</v>
      </c>
      <c r="K19" s="20">
        <v>61842456</v>
      </c>
      <c r="L19" s="20">
        <v>-442362742</v>
      </c>
      <c r="M19" s="20">
        <v>0</v>
      </c>
      <c r="N19" s="20">
        <v>0</v>
      </c>
      <c r="O19" s="20">
        <v>0</v>
      </c>
      <c r="P19" s="20">
        <v>-321852439</v>
      </c>
      <c r="Q19" s="20">
        <v>72632874</v>
      </c>
      <c r="R19" s="20">
        <v>0</v>
      </c>
      <c r="S19" s="20">
        <v>72632874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</row>
    <row r="20" spans="1:257">
      <c r="A20" s="16" t="s">
        <v>121</v>
      </c>
      <c r="B20" s="21" t="str">
        <f>VLOOKUP(A20,Sheet1!$A$1:$B$242,2,FALSE)</f>
        <v>기말상품재고액</v>
      </c>
      <c r="C20" s="20">
        <v>75443317</v>
      </c>
      <c r="D20" s="20">
        <v>72214523</v>
      </c>
      <c r="E20" s="20">
        <v>63829945</v>
      </c>
      <c r="F20" s="20">
        <v>68176813</v>
      </c>
      <c r="G20" s="20">
        <v>67522901</v>
      </c>
      <c r="H20" s="20">
        <v>47297814</v>
      </c>
      <c r="I20" s="20">
        <v>394485313</v>
      </c>
      <c r="J20" s="20">
        <v>58667847</v>
      </c>
      <c r="K20" s="20">
        <v>61842456</v>
      </c>
      <c r="L20" s="20">
        <v>-442362742</v>
      </c>
      <c r="M20" s="20">
        <v>0</v>
      </c>
      <c r="N20" s="20">
        <v>0</v>
      </c>
      <c r="O20" s="20">
        <v>0</v>
      </c>
      <c r="P20" s="20">
        <v>-321852439</v>
      </c>
      <c r="Q20" s="20">
        <v>72632874</v>
      </c>
      <c r="R20" s="20">
        <v>0</v>
      </c>
      <c r="S20" s="20">
        <v>72632874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</row>
    <row r="21" spans="1:257">
      <c r="A21" s="16" t="s">
        <v>122</v>
      </c>
      <c r="B21" s="21" t="str">
        <f>VLOOKUP(A21,Sheet1!$A$1:$B$242,2,FALSE)</f>
        <v>매출원가</v>
      </c>
      <c r="C21" s="20">
        <v>14657413</v>
      </c>
      <c r="D21" s="20">
        <v>14229790</v>
      </c>
      <c r="E21" s="20">
        <v>21430752</v>
      </c>
      <c r="F21" s="20">
        <v>17707785</v>
      </c>
      <c r="G21" s="20">
        <v>14790835</v>
      </c>
      <c r="H21" s="20">
        <v>29622258</v>
      </c>
      <c r="I21" s="20">
        <v>112438833</v>
      </c>
      <c r="J21" s="20">
        <v>22854731</v>
      </c>
      <c r="K21" s="20">
        <v>28164501</v>
      </c>
      <c r="L21" s="20">
        <v>28619848</v>
      </c>
      <c r="M21" s="20">
        <v>0</v>
      </c>
      <c r="N21" s="20">
        <v>0</v>
      </c>
      <c r="O21" s="20">
        <v>0</v>
      </c>
      <c r="P21" s="20">
        <v>79639080</v>
      </c>
      <c r="Q21" s="20">
        <v>192077913</v>
      </c>
      <c r="R21" s="20">
        <v>0</v>
      </c>
      <c r="S21" s="20">
        <v>192077913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</row>
    <row r="22" spans="1:257">
      <c r="A22" s="16" t="s">
        <v>123</v>
      </c>
      <c r="B22" s="21" t="str">
        <f>VLOOKUP(A22,Sheet1!$A$1:$B$242,2,FALSE)</f>
        <v>매출총손익금액</v>
      </c>
      <c r="C22" s="20">
        <v>18634009</v>
      </c>
      <c r="D22" s="20">
        <v>21045907</v>
      </c>
      <c r="E22" s="20">
        <v>28025621</v>
      </c>
      <c r="F22" s="20">
        <v>24260212</v>
      </c>
      <c r="G22" s="20">
        <v>23313932</v>
      </c>
      <c r="H22" s="20">
        <v>32485098</v>
      </c>
      <c r="I22" s="20">
        <v>147764779</v>
      </c>
      <c r="J22" s="20">
        <v>32361072</v>
      </c>
      <c r="K22" s="20">
        <v>31986760</v>
      </c>
      <c r="L22" s="20">
        <v>68764959</v>
      </c>
      <c r="M22" s="20">
        <v>0</v>
      </c>
      <c r="N22" s="20">
        <v>0</v>
      </c>
      <c r="O22" s="20">
        <v>0</v>
      </c>
      <c r="P22" s="20">
        <v>133112791</v>
      </c>
      <c r="Q22" s="20">
        <v>280877570</v>
      </c>
      <c r="R22" s="20">
        <v>0</v>
      </c>
      <c r="S22" s="20">
        <v>280877570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</row>
    <row r="23" spans="1:257">
      <c r="A23" s="16" t="s">
        <v>124</v>
      </c>
      <c r="B23" s="21" t="str">
        <f>VLOOKUP(A23,Sheet1!$A$1:$B$242,2,FALSE)</f>
        <v>[판매관리비]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</row>
    <row r="24" spans="1:257">
      <c r="A24" s="16" t="s">
        <v>125</v>
      </c>
      <c r="B24" s="21" t="str">
        <f>VLOOKUP(A24,Sheet1!$A$1:$B$242,2,FALSE)</f>
        <v>임원보수</v>
      </c>
      <c r="C24" s="20">
        <v>3998480</v>
      </c>
      <c r="D24" s="20">
        <v>3571440</v>
      </c>
      <c r="E24" s="20">
        <v>3571432</v>
      </c>
      <c r="F24" s="20">
        <v>3571432</v>
      </c>
      <c r="G24" s="20">
        <v>3571432</v>
      </c>
      <c r="H24" s="20">
        <v>3571432</v>
      </c>
      <c r="I24" s="20">
        <v>21855648</v>
      </c>
      <c r="J24" s="20">
        <v>3571432</v>
      </c>
      <c r="K24" s="20">
        <v>3571440</v>
      </c>
      <c r="L24" s="20">
        <v>3571432</v>
      </c>
      <c r="M24" s="20">
        <v>0</v>
      </c>
      <c r="N24" s="20">
        <v>0</v>
      </c>
      <c r="O24" s="20">
        <v>0</v>
      </c>
      <c r="P24" s="20">
        <v>10714304</v>
      </c>
      <c r="Q24" s="20">
        <v>32569952</v>
      </c>
      <c r="R24" s="20">
        <v>0</v>
      </c>
      <c r="S24" s="20">
        <v>32569952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</row>
    <row r="25" spans="1:257">
      <c r="A25" s="16" t="s">
        <v>126</v>
      </c>
      <c r="B25" s="21" t="str">
        <f>VLOOKUP(A25,Sheet1!$A$1:$B$242,2,FALSE)</f>
        <v xml:space="preserve">급여수당 </v>
      </c>
      <c r="C25" s="20">
        <v>3163971</v>
      </c>
      <c r="D25" s="20">
        <v>2559049</v>
      </c>
      <c r="E25" s="20">
        <v>2364237</v>
      </c>
      <c r="F25" s="20">
        <v>3244017</v>
      </c>
      <c r="G25" s="20">
        <v>2913737</v>
      </c>
      <c r="H25" s="20">
        <v>2985857</v>
      </c>
      <c r="I25" s="20">
        <v>17230868</v>
      </c>
      <c r="J25" s="20">
        <v>3175237</v>
      </c>
      <c r="K25" s="20">
        <v>3405637</v>
      </c>
      <c r="L25" s="20">
        <v>3480263</v>
      </c>
      <c r="M25" s="20">
        <v>0</v>
      </c>
      <c r="N25" s="20">
        <v>0</v>
      </c>
      <c r="O25" s="20">
        <v>0</v>
      </c>
      <c r="P25" s="20">
        <v>10061137</v>
      </c>
      <c r="Q25" s="20">
        <v>27292005</v>
      </c>
      <c r="R25" s="20">
        <v>0</v>
      </c>
      <c r="S25" s="20">
        <v>27292005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</row>
    <row r="26" spans="1:257">
      <c r="A26" s="16" t="s">
        <v>127</v>
      </c>
      <c r="B26" s="21" t="str">
        <f>VLOOKUP(A26,Sheet1!$A$1:$B$242,2,FALSE)</f>
        <v>잡급</v>
      </c>
      <c r="C26" s="20">
        <v>0</v>
      </c>
      <c r="D26" s="20">
        <v>0</v>
      </c>
      <c r="E26" s="20">
        <v>129000</v>
      </c>
      <c r="F26" s="20">
        <v>0</v>
      </c>
      <c r="G26" s="20">
        <v>217000</v>
      </c>
      <c r="H26" s="20">
        <v>0</v>
      </c>
      <c r="I26" s="20">
        <v>346000</v>
      </c>
      <c r="J26" s="20">
        <v>0</v>
      </c>
      <c r="K26" s="20">
        <v>241000</v>
      </c>
      <c r="L26" s="20">
        <v>230000</v>
      </c>
      <c r="M26" s="20">
        <v>0</v>
      </c>
      <c r="N26" s="20">
        <v>0</v>
      </c>
      <c r="O26" s="20">
        <v>0</v>
      </c>
      <c r="P26" s="20">
        <v>471000</v>
      </c>
      <c r="Q26" s="20">
        <v>817000</v>
      </c>
      <c r="R26" s="20">
        <v>0</v>
      </c>
      <c r="S26" s="20">
        <v>817000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</row>
    <row r="27" spans="1:257">
      <c r="A27" s="16" t="s">
        <v>128</v>
      </c>
      <c r="B27" s="21" t="str">
        <f>VLOOKUP(A27,Sheet1!$A$1:$B$242,2,FALSE)</f>
        <v>상여</v>
      </c>
      <c r="C27" s="20">
        <v>253740</v>
      </c>
      <c r="D27" s="20">
        <v>0</v>
      </c>
      <c r="E27" s="20">
        <v>0</v>
      </c>
      <c r="F27" s="20">
        <v>0</v>
      </c>
      <c r="G27" s="20">
        <v>2249854</v>
      </c>
      <c r="H27" s="20">
        <v>0</v>
      </c>
      <c r="I27" s="20">
        <v>2503594</v>
      </c>
      <c r="J27" s="20">
        <v>210422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210422</v>
      </c>
      <c r="Q27" s="20">
        <v>2714016</v>
      </c>
      <c r="R27" s="20">
        <v>0</v>
      </c>
      <c r="S27" s="20">
        <v>2714016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19"/>
      <c r="IV27" s="19"/>
      <c r="IW27" s="19"/>
    </row>
    <row r="28" spans="1:257">
      <c r="A28" s="16" t="s">
        <v>129</v>
      </c>
      <c r="B28" s="21" t="str">
        <f>VLOOKUP(A28,Sheet1!$A$1:$B$242,2,FALSE)</f>
        <v>법정복리비</v>
      </c>
      <c r="C28" s="20">
        <v>739876</v>
      </c>
      <c r="D28" s="20">
        <v>615470</v>
      </c>
      <c r="E28" s="20">
        <v>583595</v>
      </c>
      <c r="F28" s="20">
        <v>626960</v>
      </c>
      <c r="G28" s="20">
        <v>655710</v>
      </c>
      <c r="H28" s="20">
        <v>1089194</v>
      </c>
      <c r="I28" s="20">
        <v>4310805</v>
      </c>
      <c r="J28" s="20">
        <v>555901</v>
      </c>
      <c r="K28" s="20">
        <v>766589</v>
      </c>
      <c r="L28" s="20">
        <v>647031</v>
      </c>
      <c r="M28" s="20">
        <v>0</v>
      </c>
      <c r="N28" s="20">
        <v>0</v>
      </c>
      <c r="O28" s="20">
        <v>0</v>
      </c>
      <c r="P28" s="20">
        <v>1969521</v>
      </c>
      <c r="Q28" s="20">
        <v>6280326</v>
      </c>
      <c r="R28" s="20">
        <v>0</v>
      </c>
      <c r="S28" s="20">
        <v>6280326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  <c r="IW28" s="19"/>
    </row>
    <row r="29" spans="1:257">
      <c r="A29" s="16" t="s">
        <v>130</v>
      </c>
      <c r="B29" s="21" t="str">
        <f>VLOOKUP(A29,Sheet1!$A$1:$B$242,2,FALSE)</f>
        <v>복리후생비</v>
      </c>
      <c r="C29" s="20">
        <v>0</v>
      </c>
      <c r="D29" s="20">
        <v>0</v>
      </c>
      <c r="E29" s="20">
        <v>18000</v>
      </c>
      <c r="F29" s="20">
        <v>4802</v>
      </c>
      <c r="G29" s="20">
        <v>0</v>
      </c>
      <c r="H29" s="20">
        <v>0</v>
      </c>
      <c r="I29" s="20">
        <v>22802</v>
      </c>
      <c r="J29" s="20">
        <v>18000</v>
      </c>
      <c r="K29" s="20">
        <v>8889</v>
      </c>
      <c r="L29" s="20">
        <v>521308</v>
      </c>
      <c r="M29" s="20">
        <v>0</v>
      </c>
      <c r="N29" s="20">
        <v>0</v>
      </c>
      <c r="O29" s="20">
        <v>0</v>
      </c>
      <c r="P29" s="20">
        <v>548197</v>
      </c>
      <c r="Q29" s="20">
        <v>570999</v>
      </c>
      <c r="R29" s="20">
        <v>0</v>
      </c>
      <c r="S29" s="20">
        <v>570999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</row>
    <row r="30" spans="1:257">
      <c r="A30" s="16" t="s">
        <v>131</v>
      </c>
      <c r="B30" s="21" t="str">
        <f>VLOOKUP(A30,Sheet1!$A$1:$B$242,2,FALSE)</f>
        <v>외주비</v>
      </c>
      <c r="C30" s="20">
        <v>936289</v>
      </c>
      <c r="D30" s="20">
        <v>1715717</v>
      </c>
      <c r="E30" s="20">
        <v>1401132</v>
      </c>
      <c r="F30" s="20">
        <v>566904</v>
      </c>
      <c r="G30" s="20">
        <v>578000</v>
      </c>
      <c r="H30" s="20">
        <v>381400</v>
      </c>
      <c r="I30" s="20">
        <v>5579442</v>
      </c>
      <c r="J30" s="20">
        <v>445000</v>
      </c>
      <c r="K30" s="20">
        <v>421040</v>
      </c>
      <c r="L30" s="20">
        <v>477000</v>
      </c>
      <c r="M30" s="20">
        <v>0</v>
      </c>
      <c r="N30" s="20">
        <v>0</v>
      </c>
      <c r="O30" s="20">
        <v>0</v>
      </c>
      <c r="P30" s="20">
        <v>1343040</v>
      </c>
      <c r="Q30" s="20">
        <v>6922482</v>
      </c>
      <c r="R30" s="20">
        <v>0</v>
      </c>
      <c r="S30" s="20">
        <v>6922482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</row>
    <row r="31" spans="1:257">
      <c r="A31" s="16" t="s">
        <v>132</v>
      </c>
      <c r="B31" s="21" t="str">
        <f>VLOOKUP(A31,Sheet1!$A$1:$B$242,2,FALSE)</f>
        <v>운반비</v>
      </c>
      <c r="C31" s="20">
        <v>2119024</v>
      </c>
      <c r="D31" s="20">
        <v>1964961</v>
      </c>
      <c r="E31" s="20">
        <v>1987110</v>
      </c>
      <c r="F31" s="20">
        <v>1984855</v>
      </c>
      <c r="G31" s="20">
        <v>1725344</v>
      </c>
      <c r="H31" s="20">
        <v>2799677</v>
      </c>
      <c r="I31" s="20">
        <v>12580971</v>
      </c>
      <c r="J31" s="20">
        <v>2162415</v>
      </c>
      <c r="K31" s="20">
        <v>2374825</v>
      </c>
      <c r="L31" s="20">
        <v>3220352</v>
      </c>
      <c r="M31" s="20">
        <v>0</v>
      </c>
      <c r="N31" s="20">
        <v>0</v>
      </c>
      <c r="O31" s="20">
        <v>0</v>
      </c>
      <c r="P31" s="20">
        <v>7757592</v>
      </c>
      <c r="Q31" s="20">
        <v>20338563</v>
      </c>
      <c r="R31" s="20">
        <v>0</v>
      </c>
      <c r="S31" s="20">
        <v>20338563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</row>
    <row r="32" spans="1:257">
      <c r="A32" s="16" t="s">
        <v>133</v>
      </c>
      <c r="B32" s="21" t="str">
        <f>VLOOKUP(A32,Sheet1!$A$1:$B$242,2,FALSE)</f>
        <v>광고선전비</v>
      </c>
      <c r="C32" s="20">
        <v>406744</v>
      </c>
      <c r="D32" s="20">
        <v>422827</v>
      </c>
      <c r="E32" s="20">
        <v>251962</v>
      </c>
      <c r="F32" s="20">
        <v>354093</v>
      </c>
      <c r="G32" s="20">
        <v>383164</v>
      </c>
      <c r="H32" s="20">
        <v>495154</v>
      </c>
      <c r="I32" s="20">
        <v>2313944</v>
      </c>
      <c r="J32" s="20">
        <v>704554</v>
      </c>
      <c r="K32" s="20">
        <v>1008552</v>
      </c>
      <c r="L32" s="20">
        <v>857523</v>
      </c>
      <c r="M32" s="20">
        <v>0</v>
      </c>
      <c r="N32" s="20">
        <v>0</v>
      </c>
      <c r="O32" s="20">
        <v>0</v>
      </c>
      <c r="P32" s="20">
        <v>2570629</v>
      </c>
      <c r="Q32" s="20">
        <v>4884573</v>
      </c>
      <c r="R32" s="20">
        <v>0</v>
      </c>
      <c r="S32" s="20">
        <v>4884573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</row>
    <row r="33" spans="1:257">
      <c r="A33" s="16" t="s">
        <v>134</v>
      </c>
      <c r="B33" s="21" t="str">
        <f>VLOOKUP(A33,Sheet1!$A$1:$B$242,2,FALSE)</f>
        <v>교제비</v>
      </c>
      <c r="C33" s="20">
        <v>17828</v>
      </c>
      <c r="D33" s="20">
        <v>87433</v>
      </c>
      <c r="E33" s="20">
        <v>157134</v>
      </c>
      <c r="F33" s="20">
        <v>146220</v>
      </c>
      <c r="G33" s="20">
        <v>124059</v>
      </c>
      <c r="H33" s="20">
        <v>59884</v>
      </c>
      <c r="I33" s="20">
        <v>592558</v>
      </c>
      <c r="J33" s="20">
        <v>60292</v>
      </c>
      <c r="K33" s="20">
        <v>126407</v>
      </c>
      <c r="L33" s="20">
        <v>433760</v>
      </c>
      <c r="M33" s="20">
        <v>0</v>
      </c>
      <c r="N33" s="20">
        <v>0</v>
      </c>
      <c r="O33" s="20">
        <v>0</v>
      </c>
      <c r="P33" s="20">
        <v>620459</v>
      </c>
      <c r="Q33" s="20">
        <v>1213017</v>
      </c>
      <c r="R33" s="20">
        <v>0</v>
      </c>
      <c r="S33" s="20">
        <v>1213017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</row>
    <row r="34" spans="1:257">
      <c r="A34" s="16" t="s">
        <v>135</v>
      </c>
      <c r="B34" s="21" t="str">
        <f>VLOOKUP(A34,Sheet1!$A$1:$B$242,2,FALSE)</f>
        <v>회의비</v>
      </c>
      <c r="C34" s="20">
        <v>105451</v>
      </c>
      <c r="D34" s="20">
        <v>53153</v>
      </c>
      <c r="E34" s="20">
        <v>128458</v>
      </c>
      <c r="F34" s="20">
        <v>173989</v>
      </c>
      <c r="G34" s="20">
        <v>175839</v>
      </c>
      <c r="H34" s="20">
        <v>111624</v>
      </c>
      <c r="I34" s="20">
        <v>748514</v>
      </c>
      <c r="J34" s="20">
        <v>122400</v>
      </c>
      <c r="K34" s="20">
        <v>224884</v>
      </c>
      <c r="L34" s="20">
        <v>404363</v>
      </c>
      <c r="M34" s="20">
        <v>0</v>
      </c>
      <c r="N34" s="20">
        <v>0</v>
      </c>
      <c r="O34" s="20">
        <v>0</v>
      </c>
      <c r="P34" s="20">
        <v>751647</v>
      </c>
      <c r="Q34" s="20">
        <v>1500161</v>
      </c>
      <c r="R34" s="20">
        <v>0</v>
      </c>
      <c r="S34" s="20">
        <v>1500161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</row>
    <row r="35" spans="1:257">
      <c r="A35" s="16" t="s">
        <v>136</v>
      </c>
      <c r="B35" s="21" t="str">
        <f>VLOOKUP(A35,Sheet1!$A$1:$B$242,2,FALSE)</f>
        <v>여비교통비</v>
      </c>
      <c r="C35" s="20">
        <v>102341</v>
      </c>
      <c r="D35" s="20">
        <v>123173</v>
      </c>
      <c r="E35" s="20">
        <v>188819</v>
      </c>
      <c r="F35" s="20">
        <v>234414</v>
      </c>
      <c r="G35" s="20">
        <v>175552</v>
      </c>
      <c r="H35" s="20">
        <v>248471</v>
      </c>
      <c r="I35" s="20">
        <v>1072770</v>
      </c>
      <c r="J35" s="20">
        <v>230313</v>
      </c>
      <c r="K35" s="20">
        <v>1248449</v>
      </c>
      <c r="L35" s="20">
        <v>2749730</v>
      </c>
      <c r="M35" s="20">
        <v>0</v>
      </c>
      <c r="N35" s="20">
        <v>0</v>
      </c>
      <c r="O35" s="20">
        <v>0</v>
      </c>
      <c r="P35" s="20">
        <v>4228492</v>
      </c>
      <c r="Q35" s="20">
        <v>5301262</v>
      </c>
      <c r="R35" s="20">
        <v>0</v>
      </c>
      <c r="S35" s="20">
        <v>5301262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  <c r="IU35" s="19"/>
      <c r="IV35" s="19"/>
      <c r="IW35" s="19"/>
    </row>
    <row r="36" spans="1:257">
      <c r="A36" s="16" t="s">
        <v>137</v>
      </c>
      <c r="B36" s="21" t="str">
        <f>VLOOKUP(A36,Sheet1!$A$1:$B$242,2,FALSE)</f>
        <v>통신비</v>
      </c>
      <c r="C36" s="20">
        <v>45163</v>
      </c>
      <c r="D36" s="20">
        <v>44778</v>
      </c>
      <c r="E36" s="20">
        <v>56620</v>
      </c>
      <c r="F36" s="20">
        <v>54105</v>
      </c>
      <c r="G36" s="20">
        <v>39910</v>
      </c>
      <c r="H36" s="20">
        <v>70244</v>
      </c>
      <c r="I36" s="20">
        <v>310820</v>
      </c>
      <c r="J36" s="20">
        <v>52142</v>
      </c>
      <c r="K36" s="20">
        <v>199955</v>
      </c>
      <c r="L36" s="20">
        <v>179240</v>
      </c>
      <c r="M36" s="20">
        <v>0</v>
      </c>
      <c r="N36" s="20">
        <v>0</v>
      </c>
      <c r="O36" s="20">
        <v>0</v>
      </c>
      <c r="P36" s="20">
        <v>431337</v>
      </c>
      <c r="Q36" s="20">
        <v>742157</v>
      </c>
      <c r="R36" s="20">
        <v>0</v>
      </c>
      <c r="S36" s="20">
        <v>742157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  <c r="IS36" s="19"/>
      <c r="IT36" s="19"/>
      <c r="IU36" s="19"/>
      <c r="IV36" s="19"/>
      <c r="IW36" s="19"/>
    </row>
    <row r="37" spans="1:257">
      <c r="A37" s="16" t="s">
        <v>138</v>
      </c>
      <c r="B37" s="21" t="str">
        <f>VLOOKUP(A37,Sheet1!$A$1:$B$242,2,FALSE)</f>
        <v>판매촉진비</v>
      </c>
      <c r="C37" s="20">
        <v>97915</v>
      </c>
      <c r="D37" s="20">
        <v>85624</v>
      </c>
      <c r="E37" s="20">
        <v>83195</v>
      </c>
      <c r="F37" s="20">
        <v>95451</v>
      </c>
      <c r="G37" s="20">
        <v>87442</v>
      </c>
      <c r="H37" s="20">
        <v>62705</v>
      </c>
      <c r="I37" s="20">
        <v>512332</v>
      </c>
      <c r="J37" s="20">
        <v>84480</v>
      </c>
      <c r="K37" s="20">
        <v>83967</v>
      </c>
      <c r="L37" s="20">
        <v>71191</v>
      </c>
      <c r="M37" s="20">
        <v>0</v>
      </c>
      <c r="N37" s="20">
        <v>0</v>
      </c>
      <c r="O37" s="20">
        <v>0</v>
      </c>
      <c r="P37" s="20">
        <v>239638</v>
      </c>
      <c r="Q37" s="20">
        <v>751970</v>
      </c>
      <c r="R37" s="20">
        <v>0</v>
      </c>
      <c r="S37" s="20">
        <v>751970</v>
      </c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  <c r="IO37" s="19"/>
      <c r="IP37" s="19"/>
      <c r="IQ37" s="19"/>
      <c r="IR37" s="19"/>
      <c r="IS37" s="19"/>
      <c r="IT37" s="19"/>
      <c r="IU37" s="19"/>
      <c r="IV37" s="19"/>
      <c r="IW37" s="19"/>
    </row>
    <row r="38" spans="1:257">
      <c r="A38" s="16" t="s">
        <v>139</v>
      </c>
      <c r="B38" s="21" t="str">
        <f>VLOOKUP(A38,Sheet1!$A$1:$B$242,2,FALSE)</f>
        <v>소모품비</v>
      </c>
      <c r="C38" s="20">
        <v>570861</v>
      </c>
      <c r="D38" s="20">
        <v>346728</v>
      </c>
      <c r="E38" s="20">
        <v>370619</v>
      </c>
      <c r="F38" s="20">
        <v>455338</v>
      </c>
      <c r="G38" s="20">
        <v>366884</v>
      </c>
      <c r="H38" s="20">
        <v>682381</v>
      </c>
      <c r="I38" s="20">
        <v>2792811</v>
      </c>
      <c r="J38" s="20">
        <v>685908</v>
      </c>
      <c r="K38" s="20">
        <v>404761</v>
      </c>
      <c r="L38" s="20">
        <v>1234978</v>
      </c>
      <c r="M38" s="20">
        <v>0</v>
      </c>
      <c r="N38" s="20">
        <v>0</v>
      </c>
      <c r="O38" s="20">
        <v>0</v>
      </c>
      <c r="P38" s="20">
        <v>2325647</v>
      </c>
      <c r="Q38" s="20">
        <v>5118458</v>
      </c>
      <c r="R38" s="20">
        <v>0</v>
      </c>
      <c r="S38" s="20">
        <v>5118458</v>
      </c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</row>
    <row r="39" spans="1:257">
      <c r="A39" s="16" t="s">
        <v>140</v>
      </c>
      <c r="B39" s="21" t="str">
        <f>VLOOKUP(A39,Sheet1!$A$1:$B$242,2,FALSE)</f>
        <v>수선비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104600</v>
      </c>
      <c r="K39" s="20">
        <v>184691</v>
      </c>
      <c r="L39" s="20">
        <v>166182</v>
      </c>
      <c r="M39" s="20">
        <v>0</v>
      </c>
      <c r="N39" s="20">
        <v>0</v>
      </c>
      <c r="O39" s="20">
        <v>0</v>
      </c>
      <c r="P39" s="20">
        <v>455473</v>
      </c>
      <c r="Q39" s="20">
        <v>455473</v>
      </c>
      <c r="R39" s="20">
        <v>0</v>
      </c>
      <c r="S39" s="20">
        <v>455473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  <c r="HM39" s="19"/>
      <c r="HN39" s="19"/>
      <c r="HO39" s="19"/>
      <c r="HP39" s="19"/>
      <c r="HQ39" s="19"/>
      <c r="HR39" s="19"/>
      <c r="HS39" s="19"/>
      <c r="HT39" s="19"/>
      <c r="HU39" s="19"/>
      <c r="HV39" s="19"/>
      <c r="HW39" s="19"/>
      <c r="HX39" s="19"/>
      <c r="HY39" s="19"/>
      <c r="HZ39" s="19"/>
      <c r="IA39" s="19"/>
      <c r="IB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</row>
    <row r="40" spans="1:257">
      <c r="A40" s="16" t="s">
        <v>141</v>
      </c>
      <c r="B40" s="21" t="str">
        <f>VLOOKUP(A40,Sheet1!$A$1:$B$242,2,FALSE)</f>
        <v>수도광열비</v>
      </c>
      <c r="C40" s="20">
        <v>40576</v>
      </c>
      <c r="D40" s="20">
        <v>88212</v>
      </c>
      <c r="E40" s="20">
        <v>122099</v>
      </c>
      <c r="F40" s="20">
        <v>42669</v>
      </c>
      <c r="G40" s="20">
        <v>165887</v>
      </c>
      <c r="H40" s="20">
        <v>100865</v>
      </c>
      <c r="I40" s="20">
        <v>560308</v>
      </c>
      <c r="J40" s="20">
        <v>93253</v>
      </c>
      <c r="K40" s="20">
        <v>87178</v>
      </c>
      <c r="L40" s="20">
        <v>42724</v>
      </c>
      <c r="M40" s="20">
        <v>0</v>
      </c>
      <c r="N40" s="20">
        <v>0</v>
      </c>
      <c r="O40" s="20">
        <v>0</v>
      </c>
      <c r="P40" s="20">
        <v>223155</v>
      </c>
      <c r="Q40" s="20">
        <v>783463</v>
      </c>
      <c r="R40" s="20">
        <v>0</v>
      </c>
      <c r="S40" s="20">
        <v>783463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  <c r="IS40" s="19"/>
      <c r="IT40" s="19"/>
      <c r="IU40" s="19"/>
      <c r="IV40" s="19"/>
      <c r="IW40" s="19"/>
    </row>
    <row r="41" spans="1:257">
      <c r="A41" s="16" t="s">
        <v>142</v>
      </c>
      <c r="B41" s="21" t="str">
        <f>VLOOKUP(A41,Sheet1!$A$1:$B$242,2,FALSE)</f>
        <v>지불수수료</v>
      </c>
      <c r="C41" s="20">
        <v>2045774</v>
      </c>
      <c r="D41" s="20">
        <v>3200408</v>
      </c>
      <c r="E41" s="20">
        <v>3794019</v>
      </c>
      <c r="F41" s="20">
        <v>4534240</v>
      </c>
      <c r="G41" s="20">
        <v>4797198</v>
      </c>
      <c r="H41" s="20">
        <v>5788424</v>
      </c>
      <c r="I41" s="20">
        <v>24160063</v>
      </c>
      <c r="J41" s="20">
        <v>5747140</v>
      </c>
      <c r="K41" s="20">
        <v>6266177</v>
      </c>
      <c r="L41" s="20">
        <v>9601156</v>
      </c>
      <c r="M41" s="20">
        <v>0</v>
      </c>
      <c r="N41" s="20">
        <v>0</v>
      </c>
      <c r="O41" s="20">
        <v>0</v>
      </c>
      <c r="P41" s="20">
        <v>21614473</v>
      </c>
      <c r="Q41" s="20">
        <v>45774536</v>
      </c>
      <c r="R41" s="20">
        <v>0</v>
      </c>
      <c r="S41" s="20">
        <v>45774536</v>
      </c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  <c r="IO41" s="19"/>
      <c r="IP41" s="19"/>
      <c r="IQ41" s="19"/>
      <c r="IR41" s="19"/>
      <c r="IS41" s="19"/>
      <c r="IT41" s="19"/>
      <c r="IU41" s="19"/>
      <c r="IV41" s="19"/>
      <c r="IW41" s="19"/>
    </row>
    <row r="42" spans="1:257">
      <c r="A42" s="16" t="s">
        <v>143</v>
      </c>
      <c r="B42" s="21" t="str">
        <f>VLOOKUP(A42,Sheet1!$A$1:$B$242,2,FALSE)</f>
        <v>차량비</v>
      </c>
      <c r="C42" s="20">
        <v>0</v>
      </c>
      <c r="D42" s="20">
        <v>416364</v>
      </c>
      <c r="E42" s="20">
        <v>4200</v>
      </c>
      <c r="F42" s="20">
        <v>152394</v>
      </c>
      <c r="G42" s="20">
        <v>44553</v>
      </c>
      <c r="H42" s="20">
        <v>212077</v>
      </c>
      <c r="I42" s="20">
        <v>829588</v>
      </c>
      <c r="J42" s="20">
        <v>32272</v>
      </c>
      <c r="K42" s="20">
        <v>105201</v>
      </c>
      <c r="L42" s="20">
        <v>211882</v>
      </c>
      <c r="M42" s="20">
        <v>0</v>
      </c>
      <c r="N42" s="20">
        <v>0</v>
      </c>
      <c r="O42" s="20">
        <v>0</v>
      </c>
      <c r="P42" s="20">
        <v>349355</v>
      </c>
      <c r="Q42" s="20">
        <v>1178943</v>
      </c>
      <c r="R42" s="20">
        <v>0</v>
      </c>
      <c r="S42" s="20">
        <v>1178943</v>
      </c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  <c r="HT42" s="19"/>
      <c r="HU42" s="19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  <c r="IO42" s="19"/>
      <c r="IP42" s="19"/>
      <c r="IQ42" s="19"/>
      <c r="IR42" s="19"/>
      <c r="IS42" s="19"/>
      <c r="IT42" s="19"/>
      <c r="IU42" s="19"/>
      <c r="IV42" s="19"/>
      <c r="IW42" s="19"/>
    </row>
    <row r="43" spans="1:257">
      <c r="A43" s="16" t="s">
        <v>144</v>
      </c>
      <c r="B43" s="21" t="str">
        <f>VLOOKUP(A43,Sheet1!$A$1:$B$242,2,FALSE)</f>
        <v>지급임차료</v>
      </c>
      <c r="C43" s="20">
        <v>1928021</v>
      </c>
      <c r="D43" s="20">
        <v>1928021</v>
      </c>
      <c r="E43" s="20">
        <v>1928021</v>
      </c>
      <c r="F43" s="20">
        <v>1942021</v>
      </c>
      <c r="G43" s="20">
        <v>1925221</v>
      </c>
      <c r="H43" s="20">
        <v>1936271</v>
      </c>
      <c r="I43" s="20">
        <v>11587576</v>
      </c>
      <c r="J43" s="20">
        <v>1985521</v>
      </c>
      <c r="K43" s="20">
        <v>2069596</v>
      </c>
      <c r="L43" s="20">
        <v>1705778</v>
      </c>
      <c r="M43" s="20">
        <v>0</v>
      </c>
      <c r="N43" s="20">
        <v>0</v>
      </c>
      <c r="O43" s="20">
        <v>0</v>
      </c>
      <c r="P43" s="20">
        <v>5760895</v>
      </c>
      <c r="Q43" s="20">
        <v>17348471</v>
      </c>
      <c r="R43" s="20">
        <v>0</v>
      </c>
      <c r="S43" s="20">
        <v>17348471</v>
      </c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  <c r="IO43" s="19"/>
      <c r="IP43" s="19"/>
      <c r="IQ43" s="19"/>
      <c r="IR43" s="19"/>
      <c r="IS43" s="19"/>
      <c r="IT43" s="19"/>
      <c r="IU43" s="19"/>
      <c r="IV43" s="19"/>
      <c r="IW43" s="19"/>
    </row>
    <row r="44" spans="1:257">
      <c r="A44" s="16" t="s">
        <v>145</v>
      </c>
      <c r="B44" s="21" t="str">
        <f>VLOOKUP(A44,Sheet1!$A$1:$B$242,2,FALSE)</f>
        <v>리스료</v>
      </c>
      <c r="C44" s="20">
        <v>8100</v>
      </c>
      <c r="D44" s="20">
        <v>8100</v>
      </c>
      <c r="E44" s="20">
        <v>8100</v>
      </c>
      <c r="F44" s="20">
        <v>8100</v>
      </c>
      <c r="G44" s="20">
        <v>8100</v>
      </c>
      <c r="H44" s="20">
        <v>8100</v>
      </c>
      <c r="I44" s="20">
        <v>48600</v>
      </c>
      <c r="J44" s="20">
        <v>8100</v>
      </c>
      <c r="K44" s="20">
        <v>8100</v>
      </c>
      <c r="L44" s="20">
        <v>0</v>
      </c>
      <c r="M44" s="20">
        <v>0</v>
      </c>
      <c r="N44" s="20">
        <v>0</v>
      </c>
      <c r="O44" s="20">
        <v>0</v>
      </c>
      <c r="P44" s="20">
        <v>16200</v>
      </c>
      <c r="Q44" s="20">
        <v>64800</v>
      </c>
      <c r="R44" s="20">
        <v>0</v>
      </c>
      <c r="S44" s="20">
        <v>64800</v>
      </c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  <c r="IO44" s="19"/>
      <c r="IP44" s="19"/>
      <c r="IQ44" s="19"/>
      <c r="IR44" s="19"/>
      <c r="IS44" s="19"/>
      <c r="IT44" s="19"/>
      <c r="IU44" s="19"/>
      <c r="IV44" s="19"/>
      <c r="IW44" s="19"/>
    </row>
    <row r="45" spans="1:257">
      <c r="A45" s="16" t="s">
        <v>146</v>
      </c>
      <c r="B45" s="21" t="str">
        <f>VLOOKUP(A45,Sheet1!$A$1:$B$242,2,FALSE)</f>
        <v>보험료</v>
      </c>
      <c r="C45" s="20">
        <v>98185</v>
      </c>
      <c r="D45" s="20">
        <v>57535</v>
      </c>
      <c r="E45" s="20">
        <v>75875</v>
      </c>
      <c r="F45" s="20">
        <v>155195</v>
      </c>
      <c r="G45" s="20">
        <v>75875</v>
      </c>
      <c r="H45" s="20">
        <v>220214</v>
      </c>
      <c r="I45" s="20">
        <v>682879</v>
      </c>
      <c r="J45" s="20">
        <v>328595</v>
      </c>
      <c r="K45" s="20">
        <v>309484</v>
      </c>
      <c r="L45" s="20">
        <v>65354</v>
      </c>
      <c r="M45" s="20">
        <v>0</v>
      </c>
      <c r="N45" s="20">
        <v>0</v>
      </c>
      <c r="O45" s="20">
        <v>0</v>
      </c>
      <c r="P45" s="20">
        <v>703433</v>
      </c>
      <c r="Q45" s="20">
        <v>1386312</v>
      </c>
      <c r="R45" s="20">
        <v>0</v>
      </c>
      <c r="S45" s="20">
        <v>1386312</v>
      </c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</row>
    <row r="46" spans="1:257">
      <c r="A46" s="16" t="s">
        <v>147</v>
      </c>
      <c r="B46" s="21" t="str">
        <f>VLOOKUP(A46,Sheet1!$A$1:$B$242,2,FALSE)</f>
        <v>조세공과</v>
      </c>
      <c r="C46" s="20">
        <v>35100</v>
      </c>
      <c r="D46" s="20">
        <v>0</v>
      </c>
      <c r="E46" s="20">
        <v>171993</v>
      </c>
      <c r="F46" s="20">
        <v>0</v>
      </c>
      <c r="G46" s="20">
        <v>2200</v>
      </c>
      <c r="H46" s="20">
        <v>1400</v>
      </c>
      <c r="I46" s="20">
        <v>210693</v>
      </c>
      <c r="J46" s="20">
        <v>3700</v>
      </c>
      <c r="K46" s="20">
        <v>0</v>
      </c>
      <c r="L46" s="20">
        <v>400</v>
      </c>
      <c r="M46" s="20">
        <v>0</v>
      </c>
      <c r="N46" s="20">
        <v>0</v>
      </c>
      <c r="O46" s="20">
        <v>0</v>
      </c>
      <c r="P46" s="20">
        <v>4100</v>
      </c>
      <c r="Q46" s="20">
        <v>214793</v>
      </c>
      <c r="R46" s="20">
        <v>0</v>
      </c>
      <c r="S46" s="20">
        <v>214793</v>
      </c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  <c r="IS46" s="19"/>
      <c r="IT46" s="19"/>
      <c r="IU46" s="19"/>
      <c r="IV46" s="19"/>
      <c r="IW46" s="19"/>
    </row>
    <row r="47" spans="1:257">
      <c r="A47" s="16" t="s">
        <v>148</v>
      </c>
      <c r="B47" s="21" t="str">
        <f>VLOOKUP(A47,Sheet1!$A$1:$B$242,2,FALSE)</f>
        <v>지불보수료</v>
      </c>
      <c r="C47" s="20">
        <v>193600</v>
      </c>
      <c r="D47" s="20">
        <v>503800</v>
      </c>
      <c r="E47" s="20">
        <v>328600</v>
      </c>
      <c r="F47" s="20">
        <v>200600</v>
      </c>
      <c r="G47" s="20">
        <v>295600</v>
      </c>
      <c r="H47" s="20">
        <v>182600</v>
      </c>
      <c r="I47" s="20">
        <v>1704800</v>
      </c>
      <c r="J47" s="20">
        <v>108600</v>
      </c>
      <c r="K47" s="20">
        <v>269600</v>
      </c>
      <c r="L47" s="20">
        <v>240600</v>
      </c>
      <c r="M47" s="20">
        <v>0</v>
      </c>
      <c r="N47" s="20">
        <v>0</v>
      </c>
      <c r="O47" s="20">
        <v>0</v>
      </c>
      <c r="P47" s="20">
        <v>618800</v>
      </c>
      <c r="Q47" s="20">
        <v>2323600</v>
      </c>
      <c r="R47" s="20">
        <v>0</v>
      </c>
      <c r="S47" s="20">
        <v>2323600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</row>
    <row r="48" spans="1:257">
      <c r="A48" s="16" t="s">
        <v>149</v>
      </c>
      <c r="B48" s="21" t="str">
        <f>VLOOKUP(A48,Sheet1!$A$1:$B$242,2,FALSE)</f>
        <v>감가상각비</v>
      </c>
      <c r="C48" s="20">
        <v>236754</v>
      </c>
      <c r="D48" s="20">
        <v>236754</v>
      </c>
      <c r="E48" s="20">
        <v>236754</v>
      </c>
      <c r="F48" s="20">
        <v>236754</v>
      </c>
      <c r="G48" s="20">
        <v>236754</v>
      </c>
      <c r="H48" s="20">
        <v>236754</v>
      </c>
      <c r="I48" s="20">
        <v>1420524</v>
      </c>
      <c r="J48" s="20">
        <v>236754</v>
      </c>
      <c r="K48" s="20">
        <v>236754</v>
      </c>
      <c r="L48" s="20">
        <v>992456</v>
      </c>
      <c r="M48" s="20">
        <v>0</v>
      </c>
      <c r="N48" s="20">
        <v>0</v>
      </c>
      <c r="O48" s="20">
        <v>0</v>
      </c>
      <c r="P48" s="20">
        <v>1465964</v>
      </c>
      <c r="Q48" s="20">
        <v>2886488</v>
      </c>
      <c r="R48" s="20">
        <v>0</v>
      </c>
      <c r="S48" s="20">
        <v>2886488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9"/>
      <c r="IP48" s="19"/>
      <c r="IQ48" s="19"/>
      <c r="IR48" s="19"/>
      <c r="IS48" s="19"/>
      <c r="IT48" s="19"/>
      <c r="IU48" s="19"/>
      <c r="IV48" s="19"/>
      <c r="IW48" s="19"/>
    </row>
    <row r="49" spans="1:257">
      <c r="A49" s="16" t="s">
        <v>150</v>
      </c>
      <c r="B49" s="21" t="str">
        <f>VLOOKUP(A49,Sheet1!$A$1:$B$242,2,FALSE)</f>
        <v>장기선불비용상각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755827</v>
      </c>
      <c r="L49" s="20">
        <v>198000</v>
      </c>
      <c r="M49" s="20">
        <v>0</v>
      </c>
      <c r="N49" s="20">
        <v>0</v>
      </c>
      <c r="O49" s="20">
        <v>0</v>
      </c>
      <c r="P49" s="20">
        <v>953827</v>
      </c>
      <c r="Q49" s="20">
        <v>953827</v>
      </c>
      <c r="R49" s="20">
        <v>0</v>
      </c>
      <c r="S49" s="20">
        <v>953827</v>
      </c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  <c r="IO49" s="19"/>
      <c r="IP49" s="19"/>
      <c r="IQ49" s="19"/>
      <c r="IR49" s="19"/>
      <c r="IS49" s="19"/>
      <c r="IT49" s="19"/>
      <c r="IU49" s="19"/>
      <c r="IV49" s="19"/>
      <c r="IW49" s="19"/>
    </row>
    <row r="50" spans="1:257">
      <c r="A50" s="16" t="s">
        <v>151</v>
      </c>
      <c r="B50" s="21" t="str">
        <f>VLOOKUP(A50,Sheet1!$A$1:$B$242,2,FALSE)</f>
        <v>대손충당금 설정액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507847</v>
      </c>
      <c r="M50" s="20">
        <v>0</v>
      </c>
      <c r="N50" s="20">
        <v>0</v>
      </c>
      <c r="O50" s="20">
        <v>0</v>
      </c>
      <c r="P50" s="20">
        <v>507847</v>
      </c>
      <c r="Q50" s="20">
        <v>507847</v>
      </c>
      <c r="R50" s="20">
        <v>0</v>
      </c>
      <c r="S50" s="20">
        <v>507847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</row>
    <row r="51" spans="1:257">
      <c r="A51" s="16" t="s">
        <v>152</v>
      </c>
      <c r="B51" s="21" t="str">
        <f>VLOOKUP(A51,Sheet1!$A$1:$B$242,2,FALSE)</f>
        <v>잡비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3710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3710</v>
      </c>
      <c r="Q51" s="20">
        <v>3710</v>
      </c>
      <c r="R51" s="20">
        <v>0</v>
      </c>
      <c r="S51" s="20">
        <v>3710</v>
      </c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  <c r="IO51" s="19"/>
      <c r="IP51" s="19"/>
      <c r="IQ51" s="19"/>
      <c r="IR51" s="19"/>
      <c r="IS51" s="19"/>
      <c r="IT51" s="19"/>
      <c r="IU51" s="19"/>
      <c r="IV51" s="19"/>
      <c r="IW51" s="19"/>
    </row>
    <row r="52" spans="1:257">
      <c r="A52" s="16" t="s">
        <v>153</v>
      </c>
      <c r="B52" s="25" t="str">
        <f>VLOOKUP(A52,Sheet1!$A$1:$B$242,2,FALSE)</f>
        <v>판매관리비계</v>
      </c>
      <c r="C52" s="26">
        <v>17143793</v>
      </c>
      <c r="D52" s="26">
        <v>18029547</v>
      </c>
      <c r="E52" s="26">
        <v>17960974</v>
      </c>
      <c r="F52" s="26">
        <v>18784553</v>
      </c>
      <c r="G52" s="26">
        <v>20815315</v>
      </c>
      <c r="H52" s="26">
        <v>21244728</v>
      </c>
      <c r="I52" s="26">
        <v>113978910</v>
      </c>
      <c r="J52" s="26">
        <v>20730741</v>
      </c>
      <c r="K52" s="26">
        <v>24379003</v>
      </c>
      <c r="L52" s="26">
        <v>31810550</v>
      </c>
      <c r="M52" s="20">
        <v>0</v>
      </c>
      <c r="N52" s="20">
        <v>0</v>
      </c>
      <c r="O52" s="20">
        <v>0</v>
      </c>
      <c r="P52" s="20">
        <v>76920294</v>
      </c>
      <c r="Q52" s="20">
        <v>190899204</v>
      </c>
      <c r="R52" s="20">
        <v>0</v>
      </c>
      <c r="S52" s="20">
        <v>190899204</v>
      </c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  <c r="IO52" s="19"/>
      <c r="IP52" s="19"/>
      <c r="IQ52" s="19"/>
      <c r="IR52" s="19"/>
      <c r="IS52" s="19"/>
      <c r="IT52" s="19"/>
      <c r="IU52" s="19"/>
      <c r="IV52" s="19"/>
      <c r="IW52" s="19"/>
    </row>
    <row r="53" spans="1:257">
      <c r="A53" s="16" t="s">
        <v>154</v>
      </c>
      <c r="B53" s="21" t="str">
        <f>VLOOKUP(A53,Sheet1!$A$1:$B$242,2,FALSE)</f>
        <v>영업손익금액</v>
      </c>
      <c r="C53" s="20">
        <v>1490216</v>
      </c>
      <c r="D53" s="20">
        <v>3016360</v>
      </c>
      <c r="E53" s="20">
        <v>10064647</v>
      </c>
      <c r="F53" s="20">
        <v>5475659</v>
      </c>
      <c r="G53" s="20">
        <v>2498617</v>
      </c>
      <c r="H53" s="20">
        <v>11240370</v>
      </c>
      <c r="I53" s="20">
        <v>33785869</v>
      </c>
      <c r="J53" s="20">
        <v>11630331</v>
      </c>
      <c r="K53" s="20">
        <v>7607757</v>
      </c>
      <c r="L53" s="20">
        <v>36954409</v>
      </c>
      <c r="M53" s="20">
        <v>0</v>
      </c>
      <c r="N53" s="20">
        <v>0</v>
      </c>
      <c r="O53" s="20">
        <v>0</v>
      </c>
      <c r="P53" s="20">
        <v>56192497</v>
      </c>
      <c r="Q53" s="20">
        <v>89978366</v>
      </c>
      <c r="R53" s="20">
        <v>0</v>
      </c>
      <c r="S53" s="20">
        <v>89978366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9"/>
      <c r="IP53" s="19"/>
      <c r="IQ53" s="19"/>
      <c r="IR53" s="19"/>
      <c r="IS53" s="19"/>
      <c r="IT53" s="19"/>
      <c r="IU53" s="19"/>
      <c r="IV53" s="19"/>
      <c r="IW53" s="19"/>
    </row>
    <row r="54" spans="1:257">
      <c r="A54" s="16" t="s">
        <v>155</v>
      </c>
      <c r="B54" s="21" t="str">
        <f>VLOOKUP(A54,Sheet1!$A$1:$B$242,2,FALSE)</f>
        <v>[영업외수익]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</row>
    <row r="55" spans="1:257">
      <c r="A55" s="16"/>
      <c r="B55" s="21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  <c r="IO55" s="19"/>
      <c r="IP55" s="19"/>
      <c r="IQ55" s="19"/>
      <c r="IR55" s="19"/>
      <c r="IS55" s="19"/>
      <c r="IT55" s="19"/>
      <c r="IU55" s="19"/>
      <c r="IV55" s="19"/>
      <c r="IW55" s="19"/>
    </row>
    <row r="56" spans="1:257">
      <c r="A56" s="16" t="s">
        <v>156</v>
      </c>
      <c r="B56" s="21" t="str">
        <f>VLOOKUP(A56,Sheet1!$A$1:$B$242,2,FALSE)</f>
        <v>이자수익</v>
      </c>
      <c r="C56" s="20">
        <v>0</v>
      </c>
      <c r="D56" s="20">
        <v>0</v>
      </c>
      <c r="E56" s="20">
        <v>0</v>
      </c>
      <c r="F56" s="20">
        <v>0</v>
      </c>
      <c r="G56" s="20">
        <v>8043</v>
      </c>
      <c r="H56" s="20">
        <v>0</v>
      </c>
      <c r="I56" s="20">
        <v>8043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8043</v>
      </c>
      <c r="R56" s="20">
        <v>0</v>
      </c>
      <c r="S56" s="20">
        <v>8043</v>
      </c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9"/>
      <c r="IB56" s="19"/>
      <c r="IC56" s="19"/>
      <c r="ID56" s="19"/>
      <c r="IE56" s="19"/>
      <c r="IF56" s="19"/>
      <c r="IG56" s="19"/>
      <c r="IH56" s="19"/>
      <c r="II56" s="19"/>
      <c r="IJ56" s="19"/>
      <c r="IK56" s="19"/>
      <c r="IL56" s="19"/>
      <c r="IM56" s="19"/>
      <c r="IN56" s="19"/>
      <c r="IO56" s="19"/>
      <c r="IP56" s="19"/>
      <c r="IQ56" s="19"/>
      <c r="IR56" s="19"/>
      <c r="IS56" s="19"/>
      <c r="IT56" s="19"/>
      <c r="IU56" s="19"/>
      <c r="IV56" s="19"/>
      <c r="IW56" s="19"/>
    </row>
    <row r="57" spans="1:257">
      <c r="A57" s="16" t="s">
        <v>157</v>
      </c>
      <c r="B57" s="21" t="str">
        <f>VLOOKUP(A57,Sheet1!$A$1:$B$242,2,FALSE)</f>
        <v>대손충당금 환입액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206241</v>
      </c>
      <c r="M57" s="20">
        <v>0</v>
      </c>
      <c r="N57" s="20">
        <v>0</v>
      </c>
      <c r="O57" s="20">
        <v>0</v>
      </c>
      <c r="P57" s="20">
        <v>206241</v>
      </c>
      <c r="Q57" s="20">
        <v>206241</v>
      </c>
      <c r="R57" s="20">
        <v>0</v>
      </c>
      <c r="S57" s="20">
        <v>206241</v>
      </c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  <c r="IO57" s="19"/>
      <c r="IP57" s="19"/>
      <c r="IQ57" s="19"/>
      <c r="IR57" s="19"/>
      <c r="IS57" s="19"/>
      <c r="IT57" s="19"/>
      <c r="IU57" s="19"/>
      <c r="IV57" s="19"/>
      <c r="IW57" s="19"/>
    </row>
    <row r="58" spans="1:257">
      <c r="A58" s="16" t="s">
        <v>158</v>
      </c>
      <c r="B58" s="21" t="str">
        <f>VLOOKUP(A58,Sheet1!$A$1:$B$242,2,FALSE)</f>
        <v>잡수익</v>
      </c>
      <c r="C58" s="20">
        <v>113037</v>
      </c>
      <c r="D58" s="20">
        <v>569628</v>
      </c>
      <c r="E58" s="20">
        <v>106430</v>
      </c>
      <c r="F58" s="20">
        <v>681367</v>
      </c>
      <c r="G58" s="20">
        <v>-360545</v>
      </c>
      <c r="H58" s="20">
        <v>176120</v>
      </c>
      <c r="I58" s="20">
        <v>1286037</v>
      </c>
      <c r="J58" s="20">
        <v>333123</v>
      </c>
      <c r="K58" s="20">
        <v>235671</v>
      </c>
      <c r="L58" s="20">
        <v>39944</v>
      </c>
      <c r="M58" s="20">
        <v>0</v>
      </c>
      <c r="N58" s="20">
        <v>0</v>
      </c>
      <c r="O58" s="20">
        <v>0</v>
      </c>
      <c r="P58" s="20">
        <v>608738</v>
      </c>
      <c r="Q58" s="20">
        <v>1894775</v>
      </c>
      <c r="R58" s="20">
        <v>0</v>
      </c>
      <c r="S58" s="20">
        <v>1894775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  <c r="IO58" s="19"/>
      <c r="IP58" s="19"/>
      <c r="IQ58" s="19"/>
      <c r="IR58" s="19"/>
      <c r="IS58" s="19"/>
      <c r="IT58" s="19"/>
      <c r="IU58" s="19"/>
      <c r="IV58" s="19"/>
      <c r="IW58" s="19"/>
    </row>
    <row r="59" spans="1:257">
      <c r="A59" s="16" t="s">
        <v>159</v>
      </c>
      <c r="B59" s="21" t="str">
        <f>VLOOKUP(A59,Sheet1!$A$1:$B$242,2,FALSE)</f>
        <v>영업외수익합계</v>
      </c>
      <c r="C59" s="20">
        <v>113037</v>
      </c>
      <c r="D59" s="20">
        <v>569628</v>
      </c>
      <c r="E59" s="20">
        <v>106430</v>
      </c>
      <c r="F59" s="20">
        <v>681367</v>
      </c>
      <c r="G59" s="20">
        <v>-352502</v>
      </c>
      <c r="H59" s="20">
        <v>176120</v>
      </c>
      <c r="I59" s="20">
        <v>1294080</v>
      </c>
      <c r="J59" s="20">
        <v>333123</v>
      </c>
      <c r="K59" s="20">
        <v>235671</v>
      </c>
      <c r="L59" s="20">
        <v>246185</v>
      </c>
      <c r="M59" s="20">
        <v>0</v>
      </c>
      <c r="N59" s="20">
        <v>0</v>
      </c>
      <c r="O59" s="20">
        <v>0</v>
      </c>
      <c r="P59" s="20">
        <v>814979</v>
      </c>
      <c r="Q59" s="20">
        <v>2109059</v>
      </c>
      <c r="R59" s="20">
        <v>0</v>
      </c>
      <c r="S59" s="20">
        <v>2109059</v>
      </c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19"/>
      <c r="HF59" s="19"/>
      <c r="HG59" s="19"/>
      <c r="HH59" s="19"/>
      <c r="HI59" s="19"/>
      <c r="HJ59" s="19"/>
      <c r="HK59" s="19"/>
      <c r="HL59" s="19"/>
      <c r="HM59" s="19"/>
      <c r="HN59" s="19"/>
      <c r="HO59" s="19"/>
      <c r="HP59" s="19"/>
      <c r="HQ59" s="19"/>
      <c r="HR59" s="19"/>
      <c r="HS59" s="19"/>
      <c r="HT59" s="19"/>
      <c r="HU59" s="19"/>
      <c r="HV59" s="19"/>
      <c r="HW59" s="19"/>
      <c r="HX59" s="19"/>
      <c r="HY59" s="19"/>
      <c r="HZ59" s="19"/>
      <c r="IA59" s="19"/>
      <c r="IB59" s="19"/>
      <c r="IC59" s="19"/>
      <c r="ID59" s="19"/>
      <c r="IE59" s="19"/>
      <c r="IF59" s="19"/>
      <c r="IG59" s="19"/>
      <c r="IH59" s="19"/>
      <c r="II59" s="19"/>
      <c r="IJ59" s="19"/>
      <c r="IK59" s="19"/>
      <c r="IL59" s="19"/>
      <c r="IM59" s="19"/>
      <c r="IN59" s="19"/>
      <c r="IO59" s="19"/>
      <c r="IP59" s="19"/>
      <c r="IQ59" s="19"/>
      <c r="IR59" s="19"/>
      <c r="IS59" s="19"/>
      <c r="IT59" s="19"/>
      <c r="IU59" s="19"/>
      <c r="IV59" s="19"/>
      <c r="IW59" s="19"/>
    </row>
    <row r="60" spans="1:257">
      <c r="A60" s="16" t="s">
        <v>160</v>
      </c>
      <c r="B60" s="21" t="str">
        <f>VLOOKUP(A60,Sheet1!$A$1:$B$242,2,FALSE)</f>
        <v>[영업외비용]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  <c r="HN60" s="19"/>
      <c r="HO60" s="19"/>
      <c r="HP60" s="19"/>
      <c r="HQ60" s="19"/>
      <c r="HR60" s="19"/>
      <c r="HS60" s="19"/>
      <c r="HT60" s="19"/>
      <c r="HU60" s="19"/>
      <c r="HV60" s="19"/>
      <c r="HW60" s="19"/>
      <c r="HX60" s="19"/>
      <c r="HY60" s="19"/>
      <c r="HZ60" s="19"/>
      <c r="IA60" s="19"/>
      <c r="IB60" s="19"/>
      <c r="IC60" s="19"/>
      <c r="ID60" s="19"/>
      <c r="IE60" s="19"/>
      <c r="IF60" s="19"/>
      <c r="IG60" s="19"/>
      <c r="IH60" s="19"/>
      <c r="II60" s="19"/>
      <c r="IJ60" s="19"/>
      <c r="IK60" s="19"/>
      <c r="IL60" s="19"/>
      <c r="IM60" s="19"/>
      <c r="IN60" s="19"/>
      <c r="IO60" s="19"/>
      <c r="IP60" s="19"/>
      <c r="IQ60" s="19"/>
      <c r="IR60" s="19"/>
      <c r="IS60" s="19"/>
      <c r="IT60" s="19"/>
      <c r="IU60" s="19"/>
      <c r="IV60" s="19"/>
      <c r="IW60" s="19"/>
    </row>
    <row r="61" spans="1:257">
      <c r="A61" s="16" t="s">
        <v>161</v>
      </c>
      <c r="B61" s="21" t="str">
        <f>VLOOKUP(A61,Sheet1!$A$1:$B$242,2,FALSE)</f>
        <v>지급이자</v>
      </c>
      <c r="C61" s="20">
        <v>43401</v>
      </c>
      <c r="D61" s="20">
        <v>42272</v>
      </c>
      <c r="E61" s="20">
        <v>41378</v>
      </c>
      <c r="F61" s="20">
        <v>39092</v>
      </c>
      <c r="G61" s="20">
        <v>36332</v>
      </c>
      <c r="H61" s="20">
        <v>36917</v>
      </c>
      <c r="I61" s="20">
        <v>239392</v>
      </c>
      <c r="J61" s="20">
        <v>33617</v>
      </c>
      <c r="K61" s="20">
        <v>30424</v>
      </c>
      <c r="L61" s="20">
        <v>260549</v>
      </c>
      <c r="M61" s="20">
        <v>0</v>
      </c>
      <c r="N61" s="20">
        <v>0</v>
      </c>
      <c r="O61" s="20">
        <v>0</v>
      </c>
      <c r="P61" s="20">
        <v>324590</v>
      </c>
      <c r="Q61" s="20">
        <v>563982</v>
      </c>
      <c r="R61" s="20">
        <v>0</v>
      </c>
      <c r="S61" s="20">
        <v>563982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19"/>
      <c r="HF61" s="19"/>
      <c r="HG61" s="19"/>
      <c r="HH61" s="19"/>
      <c r="HI61" s="19"/>
      <c r="HJ61" s="19"/>
      <c r="HK61" s="19"/>
      <c r="HL61" s="19"/>
      <c r="HM61" s="19"/>
      <c r="HN61" s="19"/>
      <c r="HO61" s="19"/>
      <c r="HP61" s="19"/>
      <c r="HQ61" s="19"/>
      <c r="HR61" s="19"/>
      <c r="HS61" s="19"/>
      <c r="HT61" s="19"/>
      <c r="HU61" s="19"/>
      <c r="HV61" s="19"/>
      <c r="HW61" s="19"/>
      <c r="HX61" s="19"/>
      <c r="HY61" s="19"/>
      <c r="HZ61" s="19"/>
      <c r="IA61" s="19"/>
      <c r="IB61" s="19"/>
      <c r="IC61" s="19"/>
      <c r="ID61" s="19"/>
      <c r="IE61" s="19"/>
      <c r="IF61" s="19"/>
      <c r="IG61" s="19"/>
      <c r="IH61" s="19"/>
      <c r="II61" s="19"/>
      <c r="IJ61" s="19"/>
      <c r="IK61" s="19"/>
      <c r="IL61" s="19"/>
      <c r="IM61" s="19"/>
      <c r="IN61" s="19"/>
      <c r="IO61" s="19"/>
      <c r="IP61" s="19"/>
      <c r="IQ61" s="19"/>
      <c r="IR61" s="19"/>
      <c r="IS61" s="19"/>
      <c r="IT61" s="19"/>
      <c r="IU61" s="19"/>
      <c r="IV61" s="19"/>
      <c r="IW61" s="19"/>
    </row>
    <row r="62" spans="1:257">
      <c r="A62" s="16" t="s">
        <v>162</v>
      </c>
      <c r="B62" s="21" t="str">
        <f>VLOOKUP(A62,Sheet1!$A$1:$B$242,2,FALSE)</f>
        <v>잡손실</v>
      </c>
      <c r="C62" s="20">
        <v>178644</v>
      </c>
      <c r="D62" s="20">
        <v>188081</v>
      </c>
      <c r="E62" s="20">
        <v>126843</v>
      </c>
      <c r="F62" s="20">
        <v>472125</v>
      </c>
      <c r="G62" s="20">
        <v>-257579</v>
      </c>
      <c r="H62" s="20">
        <v>387734</v>
      </c>
      <c r="I62" s="20">
        <v>1095848</v>
      </c>
      <c r="J62" s="20">
        <v>64830</v>
      </c>
      <c r="K62" s="20">
        <v>673118</v>
      </c>
      <c r="L62" s="20">
        <v>83834</v>
      </c>
      <c r="M62" s="20">
        <v>0</v>
      </c>
      <c r="N62" s="20">
        <v>0</v>
      </c>
      <c r="O62" s="20">
        <v>0</v>
      </c>
      <c r="P62" s="20">
        <v>821782</v>
      </c>
      <c r="Q62" s="20">
        <v>1917630</v>
      </c>
      <c r="R62" s="20">
        <v>0</v>
      </c>
      <c r="S62" s="20">
        <v>1917630</v>
      </c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9"/>
      <c r="HK62" s="19"/>
      <c r="HL62" s="19"/>
      <c r="HM62" s="19"/>
      <c r="HN62" s="19"/>
      <c r="HO62" s="19"/>
      <c r="HP62" s="19"/>
      <c r="HQ62" s="19"/>
      <c r="HR62" s="19"/>
      <c r="HS62" s="19"/>
      <c r="HT62" s="19"/>
      <c r="HU62" s="19"/>
      <c r="HV62" s="19"/>
      <c r="HW62" s="19"/>
      <c r="HX62" s="19"/>
      <c r="HY62" s="19"/>
      <c r="HZ62" s="19"/>
      <c r="IA62" s="19"/>
      <c r="IB62" s="19"/>
      <c r="IC62" s="19"/>
      <c r="ID62" s="19"/>
      <c r="IE62" s="19"/>
      <c r="IF62" s="19"/>
      <c r="IG62" s="19"/>
      <c r="IH62" s="19"/>
      <c r="II62" s="19"/>
      <c r="IJ62" s="19"/>
      <c r="IK62" s="19"/>
      <c r="IL62" s="19"/>
      <c r="IM62" s="19"/>
      <c r="IN62" s="19"/>
      <c r="IO62" s="19"/>
      <c r="IP62" s="19"/>
      <c r="IQ62" s="19"/>
      <c r="IR62" s="19"/>
      <c r="IS62" s="19"/>
      <c r="IT62" s="19"/>
      <c r="IU62" s="19"/>
      <c r="IV62" s="19"/>
      <c r="IW62" s="19"/>
    </row>
    <row r="63" spans="1:257">
      <c r="A63" s="16" t="s">
        <v>163</v>
      </c>
      <c r="B63" s="21" t="str">
        <f>VLOOKUP(A63,Sheet1!$A$1:$B$242,2,FALSE)</f>
        <v>영업외비용합계</v>
      </c>
      <c r="C63" s="20">
        <v>222045</v>
      </c>
      <c r="D63" s="20">
        <v>230353</v>
      </c>
      <c r="E63" s="20">
        <v>168221</v>
      </c>
      <c r="F63" s="20">
        <v>511217</v>
      </c>
      <c r="G63" s="20">
        <v>-221247</v>
      </c>
      <c r="H63" s="20">
        <v>424651</v>
      </c>
      <c r="I63" s="20">
        <v>1335240</v>
      </c>
      <c r="J63" s="20">
        <v>98447</v>
      </c>
      <c r="K63" s="20">
        <v>703542</v>
      </c>
      <c r="L63" s="20">
        <v>344383</v>
      </c>
      <c r="M63" s="20">
        <v>0</v>
      </c>
      <c r="N63" s="20">
        <v>0</v>
      </c>
      <c r="O63" s="20">
        <v>0</v>
      </c>
      <c r="P63" s="20">
        <v>1146372</v>
      </c>
      <c r="Q63" s="20">
        <v>2481612</v>
      </c>
      <c r="R63" s="20">
        <v>0</v>
      </c>
      <c r="S63" s="20">
        <v>2481612</v>
      </c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  <c r="HN63" s="19"/>
      <c r="HO63" s="19"/>
      <c r="HP63" s="19"/>
      <c r="HQ63" s="19"/>
      <c r="HR63" s="19"/>
      <c r="HS63" s="19"/>
      <c r="HT63" s="19"/>
      <c r="HU63" s="19"/>
      <c r="HV63" s="19"/>
      <c r="HW63" s="19"/>
      <c r="HX63" s="19"/>
      <c r="HY63" s="19"/>
      <c r="HZ63" s="19"/>
      <c r="IA63" s="19"/>
      <c r="IB63" s="19"/>
      <c r="IC63" s="19"/>
      <c r="ID63" s="19"/>
      <c r="IE63" s="19"/>
      <c r="IF63" s="19"/>
      <c r="IG63" s="19"/>
      <c r="IH63" s="19"/>
      <c r="II63" s="19"/>
      <c r="IJ63" s="19"/>
      <c r="IK63" s="19"/>
      <c r="IL63" s="19"/>
      <c r="IM63" s="19"/>
      <c r="IN63" s="19"/>
      <c r="IO63" s="19"/>
      <c r="IP63" s="19"/>
      <c r="IQ63" s="19"/>
      <c r="IR63" s="19"/>
      <c r="IS63" s="19"/>
      <c r="IT63" s="19"/>
      <c r="IU63" s="19"/>
      <c r="IV63" s="19"/>
      <c r="IW63" s="19"/>
    </row>
    <row r="64" spans="1:257">
      <c r="A64" s="16" t="s">
        <v>164</v>
      </c>
      <c r="B64" s="21" t="str">
        <f>VLOOKUP(A64,Sheet1!$A$1:$B$242,2,FALSE)</f>
        <v>경상손익금액</v>
      </c>
      <c r="C64" s="20">
        <v>1381208</v>
      </c>
      <c r="D64" s="20">
        <v>3355635</v>
      </c>
      <c r="E64" s="20">
        <v>10002856</v>
      </c>
      <c r="F64" s="20">
        <v>5645809</v>
      </c>
      <c r="G64" s="20">
        <v>2367362</v>
      </c>
      <c r="H64" s="20">
        <v>10991839</v>
      </c>
      <c r="I64" s="20">
        <v>33744709</v>
      </c>
      <c r="J64" s="20">
        <v>11865007</v>
      </c>
      <c r="K64" s="20">
        <v>7139886</v>
      </c>
      <c r="L64" s="20">
        <v>36856211</v>
      </c>
      <c r="M64" s="20">
        <v>0</v>
      </c>
      <c r="N64" s="20">
        <v>0</v>
      </c>
      <c r="O64" s="20">
        <v>0</v>
      </c>
      <c r="P64" s="20">
        <v>55861104</v>
      </c>
      <c r="Q64" s="20">
        <v>89605813</v>
      </c>
      <c r="R64" s="20">
        <v>0</v>
      </c>
      <c r="S64" s="26">
        <v>89605813</v>
      </c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A64" s="19"/>
      <c r="IB64" s="19"/>
      <c r="IC64" s="19"/>
      <c r="ID64" s="19"/>
      <c r="IE64" s="19"/>
      <c r="IF64" s="19"/>
      <c r="IG64" s="19"/>
      <c r="IH64" s="19"/>
      <c r="II64" s="19"/>
      <c r="IJ64" s="19"/>
      <c r="IK64" s="19"/>
      <c r="IL64" s="19"/>
      <c r="IM64" s="19"/>
      <c r="IN64" s="19"/>
      <c r="IO64" s="19"/>
      <c r="IP64" s="19"/>
      <c r="IQ64" s="19"/>
      <c r="IR64" s="19"/>
      <c r="IS64" s="19"/>
      <c r="IT64" s="19"/>
      <c r="IU64" s="19"/>
      <c r="IV64" s="19"/>
      <c r="IW64" s="19"/>
    </row>
    <row r="65" spans="1:257">
      <c r="A65" s="16" t="s">
        <v>165</v>
      </c>
      <c r="B65" s="21" t="str">
        <f>VLOOKUP(A65,Sheet1!$A$1:$B$242,2,FALSE)</f>
        <v>[특별이익]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  <c r="HN65" s="19"/>
      <c r="HO65" s="19"/>
      <c r="HP65" s="19"/>
      <c r="HQ65" s="19"/>
      <c r="HR65" s="19"/>
      <c r="HS65" s="19"/>
      <c r="HT65" s="19"/>
      <c r="HU65" s="19"/>
      <c r="HV65" s="19"/>
      <c r="HW65" s="19"/>
      <c r="HX65" s="19"/>
      <c r="HY65" s="19"/>
      <c r="HZ65" s="19"/>
      <c r="IA65" s="19"/>
      <c r="IB65" s="19"/>
      <c r="IC65" s="19"/>
      <c r="ID65" s="19"/>
      <c r="IE65" s="19"/>
      <c r="IF65" s="19"/>
      <c r="IG65" s="19"/>
      <c r="IH65" s="19"/>
      <c r="II65" s="19"/>
      <c r="IJ65" s="19"/>
      <c r="IK65" s="19"/>
      <c r="IL65" s="19"/>
      <c r="IM65" s="19"/>
      <c r="IN65" s="19"/>
      <c r="IO65" s="19"/>
      <c r="IP65" s="19"/>
      <c r="IQ65" s="19"/>
      <c r="IR65" s="19"/>
      <c r="IS65" s="19"/>
      <c r="IT65" s="19"/>
      <c r="IU65" s="19"/>
      <c r="IV65" s="19"/>
      <c r="IW65" s="19"/>
    </row>
    <row r="66" spans="1:257">
      <c r="A66" s="16" t="s">
        <v>166</v>
      </c>
      <c r="B66" s="21" t="str">
        <f>VLOOKUP(A66,Sheet1!$A$1:$B$242,2,FALSE)</f>
        <v>고정자산매각익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674046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674046</v>
      </c>
      <c r="Q66" s="20">
        <v>674046</v>
      </c>
      <c r="R66" s="20">
        <v>0</v>
      </c>
      <c r="S66" s="20">
        <v>674046</v>
      </c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  <c r="HD66" s="19"/>
      <c r="HE66" s="19"/>
      <c r="HF66" s="19"/>
      <c r="HG66" s="19"/>
      <c r="HH66" s="19"/>
      <c r="HI66" s="19"/>
      <c r="HJ66" s="19"/>
      <c r="HK66" s="19"/>
      <c r="HL66" s="19"/>
      <c r="HM66" s="19"/>
      <c r="HN66" s="19"/>
      <c r="HO66" s="19"/>
      <c r="HP66" s="19"/>
      <c r="HQ66" s="19"/>
      <c r="HR66" s="19"/>
      <c r="HS66" s="19"/>
      <c r="HT66" s="19"/>
      <c r="HU66" s="19"/>
      <c r="HV66" s="19"/>
      <c r="HW66" s="19"/>
      <c r="HX66" s="19"/>
      <c r="HY66" s="19"/>
      <c r="HZ66" s="19"/>
      <c r="IA66" s="19"/>
      <c r="IB66" s="19"/>
      <c r="IC66" s="19"/>
      <c r="ID66" s="19"/>
      <c r="IE66" s="19"/>
      <c r="IF66" s="19"/>
      <c r="IG66" s="19"/>
      <c r="IH66" s="19"/>
      <c r="II66" s="19"/>
      <c r="IJ66" s="19"/>
      <c r="IK66" s="19"/>
      <c r="IL66" s="19"/>
      <c r="IM66" s="19"/>
      <c r="IN66" s="19"/>
      <c r="IO66" s="19"/>
      <c r="IP66" s="19"/>
      <c r="IQ66" s="19"/>
      <c r="IR66" s="19"/>
      <c r="IS66" s="19"/>
      <c r="IT66" s="19"/>
      <c r="IU66" s="19"/>
      <c r="IV66" s="19"/>
      <c r="IW66" s="19"/>
    </row>
    <row r="67" spans="1:257">
      <c r="A67" s="16" t="s">
        <v>167</v>
      </c>
      <c r="B67" s="21" t="str">
        <f>VLOOKUP(A67,Sheet1!$A$1:$B$242,2,FALSE)</f>
        <v>특별이익합계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674046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674046</v>
      </c>
      <c r="Q67" s="20">
        <v>674046</v>
      </c>
      <c r="R67" s="20">
        <v>0</v>
      </c>
      <c r="S67" s="20">
        <v>674046</v>
      </c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19"/>
      <c r="HF67" s="19"/>
      <c r="HG67" s="19"/>
      <c r="HH67" s="19"/>
      <c r="HI67" s="19"/>
      <c r="HJ67" s="19"/>
      <c r="HK67" s="19"/>
      <c r="HL67" s="19"/>
      <c r="HM67" s="19"/>
      <c r="HN67" s="19"/>
      <c r="HO67" s="19"/>
      <c r="HP67" s="19"/>
      <c r="HQ67" s="19"/>
      <c r="HR67" s="19"/>
      <c r="HS67" s="19"/>
      <c r="HT67" s="19"/>
      <c r="HU67" s="19"/>
      <c r="HV67" s="19"/>
      <c r="HW67" s="19"/>
      <c r="HX67" s="19"/>
      <c r="HY67" s="19"/>
      <c r="HZ67" s="19"/>
      <c r="IA67" s="19"/>
      <c r="IB67" s="19"/>
      <c r="IC67" s="19"/>
      <c r="ID67" s="19"/>
      <c r="IE67" s="19"/>
      <c r="IF67" s="19"/>
      <c r="IG67" s="19"/>
      <c r="IH67" s="19"/>
      <c r="II67" s="19"/>
      <c r="IJ67" s="19"/>
      <c r="IK67" s="19"/>
      <c r="IL67" s="19"/>
      <c r="IM67" s="19"/>
      <c r="IN67" s="19"/>
      <c r="IO67" s="19"/>
      <c r="IP67" s="19"/>
      <c r="IQ67" s="19"/>
      <c r="IR67" s="19"/>
      <c r="IS67" s="19"/>
      <c r="IT67" s="19"/>
      <c r="IU67" s="19"/>
      <c r="IV67" s="19"/>
      <c r="IW67" s="19"/>
    </row>
    <row r="68" spans="1:257">
      <c r="A68" s="16" t="s">
        <v>168</v>
      </c>
      <c r="B68" s="21" t="str">
        <f>VLOOKUP(A68,Sheet1!$A$1:$B$242,2,FALSE)</f>
        <v>[특별손익]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19"/>
      <c r="HF68" s="19"/>
      <c r="HG68" s="19"/>
      <c r="HH68" s="19"/>
      <c r="HI68" s="19"/>
      <c r="HJ68" s="19"/>
      <c r="HK68" s="19"/>
      <c r="HL68" s="19"/>
      <c r="HM68" s="19"/>
      <c r="HN68" s="19"/>
      <c r="HO68" s="19"/>
      <c r="HP68" s="19"/>
      <c r="HQ68" s="19"/>
      <c r="HR68" s="19"/>
      <c r="HS68" s="19"/>
      <c r="HT68" s="19"/>
      <c r="HU68" s="19"/>
      <c r="HV68" s="19"/>
      <c r="HW68" s="19"/>
      <c r="HX68" s="19"/>
      <c r="HY68" s="19"/>
      <c r="HZ68" s="19"/>
      <c r="IA68" s="19"/>
      <c r="IB68" s="19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</row>
    <row r="69" spans="1:257">
      <c r="A69" s="16" t="s">
        <v>169</v>
      </c>
      <c r="B69" s="21" t="str">
        <f>VLOOKUP(A69,Sheet1!$A$1:$B$242,2,FALSE)</f>
        <v>고정자산매각손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1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1</v>
      </c>
      <c r="Q69" s="20">
        <v>1</v>
      </c>
      <c r="R69" s="20">
        <v>0</v>
      </c>
      <c r="S69" s="20">
        <v>1</v>
      </c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  <c r="HD69" s="19"/>
      <c r="HE69" s="19"/>
      <c r="HF69" s="19"/>
      <c r="HG69" s="19"/>
      <c r="HH69" s="19"/>
      <c r="HI69" s="19"/>
      <c r="HJ69" s="19"/>
      <c r="HK69" s="19"/>
      <c r="HL69" s="19"/>
      <c r="HM69" s="19"/>
      <c r="HN69" s="19"/>
      <c r="HO69" s="19"/>
      <c r="HP69" s="19"/>
      <c r="HQ69" s="19"/>
      <c r="HR69" s="19"/>
      <c r="HS69" s="19"/>
      <c r="HT69" s="19"/>
      <c r="HU69" s="19"/>
      <c r="HV69" s="19"/>
      <c r="HW69" s="19"/>
      <c r="HX69" s="19"/>
      <c r="HY69" s="19"/>
      <c r="HZ69" s="19"/>
      <c r="IA69" s="19"/>
      <c r="IB69" s="19"/>
      <c r="IC69" s="19"/>
      <c r="ID69" s="19"/>
      <c r="IE69" s="19"/>
      <c r="IF69" s="19"/>
      <c r="IG69" s="19"/>
      <c r="IH69" s="19"/>
      <c r="II69" s="19"/>
      <c r="IJ69" s="19"/>
      <c r="IK69" s="19"/>
      <c r="IL69" s="19"/>
      <c r="IM69" s="19"/>
      <c r="IN69" s="19"/>
      <c r="IO69" s="19"/>
      <c r="IP69" s="19"/>
      <c r="IQ69" s="19"/>
      <c r="IR69" s="19"/>
      <c r="IS69" s="19"/>
      <c r="IT69" s="19"/>
      <c r="IU69" s="19"/>
      <c r="IV69" s="19"/>
      <c r="IW69" s="19"/>
    </row>
    <row r="70" spans="1:257">
      <c r="A70" s="16" t="s">
        <v>170</v>
      </c>
      <c r="B70" s="21" t="str">
        <f>VLOOKUP(A70,Sheet1!$A$1:$B$242,2,FALSE)</f>
        <v>특별손실합계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1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1</v>
      </c>
      <c r="Q70" s="20">
        <v>1</v>
      </c>
      <c r="R70" s="20">
        <v>0</v>
      </c>
      <c r="S70" s="20">
        <v>1</v>
      </c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9"/>
      <c r="IB70" s="19"/>
      <c r="IC70" s="19"/>
      <c r="ID70" s="19"/>
      <c r="IE70" s="19"/>
      <c r="IF70" s="19"/>
      <c r="IG70" s="19"/>
      <c r="IH70" s="19"/>
      <c r="II70" s="19"/>
      <c r="IJ70" s="19"/>
      <c r="IK70" s="19"/>
      <c r="IL70" s="19"/>
      <c r="IM70" s="19"/>
      <c r="IN70" s="19"/>
      <c r="IO70" s="19"/>
      <c r="IP70" s="19"/>
      <c r="IQ70" s="19"/>
      <c r="IR70" s="19"/>
      <c r="IS70" s="19"/>
      <c r="IT70" s="19"/>
      <c r="IU70" s="19"/>
      <c r="IV70" s="19"/>
      <c r="IW70" s="19"/>
    </row>
    <row r="71" spans="1:257">
      <c r="A71" s="16" t="s">
        <v>171</v>
      </c>
      <c r="B71" s="21" t="str">
        <f>VLOOKUP(A71,Sheet1!$A$1:$B$242,2,FALSE)</f>
        <v>[당기순손익]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9"/>
      <c r="IB71" s="19"/>
      <c r="IC71" s="19"/>
      <c r="ID71" s="19"/>
      <c r="IE71" s="19"/>
      <c r="IF71" s="19"/>
      <c r="IG71" s="19"/>
      <c r="IH71" s="19"/>
      <c r="II71" s="19"/>
      <c r="IJ71" s="19"/>
      <c r="IK71" s="19"/>
      <c r="IL71" s="19"/>
      <c r="IM71" s="19"/>
      <c r="IN71" s="19"/>
      <c r="IO71" s="19"/>
      <c r="IP71" s="19"/>
      <c r="IQ71" s="19"/>
      <c r="IR71" s="19"/>
      <c r="IS71" s="19"/>
      <c r="IT71" s="19"/>
      <c r="IU71" s="19"/>
      <c r="IV71" s="19"/>
      <c r="IW71" s="19"/>
    </row>
    <row r="72" spans="1:257">
      <c r="A72" s="16" t="s">
        <v>172</v>
      </c>
      <c r="B72" s="21" t="str">
        <f>VLOOKUP(A72,Sheet1!$A$1:$B$242,2,FALSE)</f>
        <v>법인세차감전순손익금액</v>
      </c>
      <c r="C72" s="20">
        <v>1381208</v>
      </c>
      <c r="D72" s="20">
        <v>3355635</v>
      </c>
      <c r="E72" s="20">
        <v>10002856</v>
      </c>
      <c r="F72" s="20">
        <v>5645809</v>
      </c>
      <c r="G72" s="20">
        <v>2367362</v>
      </c>
      <c r="H72" s="20">
        <v>10991839</v>
      </c>
      <c r="I72" s="20">
        <v>33744709</v>
      </c>
      <c r="J72" s="20">
        <v>12539052</v>
      </c>
      <c r="K72" s="20">
        <v>7139886</v>
      </c>
      <c r="L72" s="20">
        <v>36856211</v>
      </c>
      <c r="M72" s="20">
        <v>0</v>
      </c>
      <c r="N72" s="20">
        <v>0</v>
      </c>
      <c r="O72" s="20">
        <v>0</v>
      </c>
      <c r="P72" s="20">
        <v>56535149</v>
      </c>
      <c r="Q72" s="20">
        <v>90279858</v>
      </c>
      <c r="R72" s="20">
        <v>0</v>
      </c>
      <c r="S72" s="20">
        <v>90279858</v>
      </c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  <c r="HN72" s="19"/>
      <c r="HO72" s="19"/>
      <c r="HP72" s="19"/>
      <c r="HQ72" s="19"/>
      <c r="HR72" s="19"/>
      <c r="HS72" s="19"/>
      <c r="HT72" s="19"/>
      <c r="HU72" s="19"/>
      <c r="HV72" s="19"/>
      <c r="HW72" s="19"/>
      <c r="HX72" s="19"/>
      <c r="HY72" s="19"/>
      <c r="HZ72" s="19"/>
      <c r="IA72" s="19"/>
      <c r="IB72" s="19"/>
      <c r="IC72" s="19"/>
      <c r="ID72" s="19"/>
      <c r="IE72" s="19"/>
      <c r="IF72" s="19"/>
      <c r="IG72" s="19"/>
      <c r="IH72" s="19"/>
      <c r="II72" s="19"/>
      <c r="IJ72" s="19"/>
      <c r="IK72" s="19"/>
      <c r="IL72" s="19"/>
      <c r="IM72" s="19"/>
      <c r="IN72" s="19"/>
      <c r="IO72" s="19"/>
      <c r="IP72" s="19"/>
      <c r="IQ72" s="19"/>
      <c r="IR72" s="19"/>
      <c r="IS72" s="19"/>
      <c r="IT72" s="19"/>
      <c r="IU72" s="19"/>
      <c r="IV72" s="19"/>
      <c r="IW72" s="19"/>
    </row>
    <row r="73" spans="1:257">
      <c r="A73" s="16" t="s">
        <v>173</v>
      </c>
      <c r="B73" s="21" t="str">
        <f>VLOOKUP(A73,Sheet1!$A$1:$B$242,2,FALSE)</f>
        <v>법인세등</v>
      </c>
      <c r="C73" s="20">
        <v>0</v>
      </c>
      <c r="D73" s="20">
        <v>0</v>
      </c>
      <c r="E73" s="20">
        <v>0</v>
      </c>
      <c r="F73" s="20">
        <v>0</v>
      </c>
      <c r="G73" s="20">
        <v>1230</v>
      </c>
      <c r="H73" s="20">
        <v>0</v>
      </c>
      <c r="I73" s="20">
        <v>1230</v>
      </c>
      <c r="J73" s="20">
        <v>0</v>
      </c>
      <c r="K73" s="20">
        <v>0</v>
      </c>
      <c r="L73" s="20">
        <v>210800</v>
      </c>
      <c r="M73" s="20">
        <v>0</v>
      </c>
      <c r="N73" s="20">
        <v>0</v>
      </c>
      <c r="O73" s="20">
        <v>0</v>
      </c>
      <c r="P73" s="20">
        <v>210800</v>
      </c>
      <c r="Q73" s="20">
        <v>212030</v>
      </c>
      <c r="R73" s="20">
        <v>0</v>
      </c>
      <c r="S73" s="20">
        <v>212030</v>
      </c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  <c r="HD73" s="19"/>
      <c r="HE73" s="19"/>
      <c r="HF73" s="19"/>
      <c r="HG73" s="19"/>
      <c r="HH73" s="19"/>
      <c r="HI73" s="19"/>
      <c r="HJ73" s="19"/>
      <c r="HK73" s="19"/>
      <c r="HL73" s="19"/>
      <c r="HM73" s="19"/>
      <c r="HN73" s="19"/>
      <c r="HO73" s="19"/>
      <c r="HP73" s="19"/>
      <c r="HQ73" s="19"/>
      <c r="HR73" s="19"/>
      <c r="HS73" s="19"/>
      <c r="HT73" s="19"/>
      <c r="HU73" s="19"/>
      <c r="HV73" s="19"/>
      <c r="HW73" s="19"/>
      <c r="HX73" s="19"/>
      <c r="HY73" s="19"/>
      <c r="HZ73" s="19"/>
      <c r="IA73" s="19"/>
      <c r="IB73" s="19"/>
      <c r="IC73" s="19"/>
      <c r="ID73" s="19"/>
      <c r="IE73" s="19"/>
      <c r="IF73" s="19"/>
      <c r="IG73" s="19"/>
      <c r="IH73" s="19"/>
      <c r="II73" s="19"/>
      <c r="IJ73" s="19"/>
      <c r="IK73" s="19"/>
      <c r="IL73" s="19"/>
      <c r="IM73" s="19"/>
      <c r="IN73" s="19"/>
      <c r="IO73" s="19"/>
      <c r="IP73" s="19"/>
      <c r="IQ73" s="19"/>
      <c r="IR73" s="19"/>
      <c r="IS73" s="19"/>
      <c r="IT73" s="19"/>
      <c r="IU73" s="19"/>
      <c r="IV73" s="19"/>
      <c r="IW73" s="19"/>
    </row>
    <row r="74" spans="1:257">
      <c r="A74" s="16" t="s">
        <v>95</v>
      </c>
      <c r="B74" s="21" t="str">
        <f>VLOOKUP(A74,Sheet1!$A$1:$B$242,2,FALSE)</f>
        <v>당기순손익금액</v>
      </c>
      <c r="C74" s="20">
        <v>1381208</v>
      </c>
      <c r="D74" s="20">
        <v>3355635</v>
      </c>
      <c r="E74" s="20">
        <v>10002856</v>
      </c>
      <c r="F74" s="20">
        <v>5645809</v>
      </c>
      <c r="G74" s="20">
        <v>2366132</v>
      </c>
      <c r="H74" s="20">
        <v>10991839</v>
      </c>
      <c r="I74" s="20">
        <v>33743479</v>
      </c>
      <c r="J74" s="20">
        <v>12539052</v>
      </c>
      <c r="K74" s="20">
        <v>7139886</v>
      </c>
      <c r="L74" s="20">
        <v>36645411</v>
      </c>
      <c r="M74" s="20">
        <v>0</v>
      </c>
      <c r="N74" s="20">
        <v>0</v>
      </c>
      <c r="O74" s="20">
        <v>0</v>
      </c>
      <c r="P74" s="20">
        <v>56324349</v>
      </c>
      <c r="Q74" s="20">
        <v>90067828</v>
      </c>
      <c r="R74" s="20">
        <v>0</v>
      </c>
      <c r="S74" s="26">
        <v>90067828</v>
      </c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19"/>
      <c r="HF74" s="19"/>
      <c r="HG74" s="19"/>
      <c r="HH74" s="19"/>
      <c r="HI74" s="19"/>
      <c r="HJ74" s="19"/>
      <c r="HK74" s="19"/>
      <c r="HL74" s="19"/>
      <c r="HM74" s="19"/>
      <c r="HN74" s="19"/>
      <c r="HO74" s="19"/>
      <c r="HP74" s="19"/>
      <c r="HQ74" s="19"/>
      <c r="HR74" s="19"/>
      <c r="HS74" s="19"/>
      <c r="HT74" s="19"/>
      <c r="HU74" s="19"/>
      <c r="HV74" s="19"/>
      <c r="HW74" s="19"/>
      <c r="HX74" s="19"/>
      <c r="HY74" s="19"/>
      <c r="HZ74" s="19"/>
      <c r="IA74" s="19"/>
      <c r="IB74" s="19"/>
      <c r="IC74" s="19"/>
      <c r="ID74" s="19"/>
      <c r="IE74" s="19"/>
      <c r="IF74" s="19"/>
      <c r="IG74" s="19"/>
      <c r="IH74" s="19"/>
      <c r="II74" s="19"/>
      <c r="IJ74" s="19"/>
      <c r="IK74" s="19"/>
      <c r="IL74" s="19"/>
      <c r="IM74" s="19"/>
      <c r="IN74" s="19"/>
      <c r="IO74" s="19"/>
      <c r="IP74" s="19"/>
      <c r="IQ74" s="19"/>
      <c r="IR74" s="19"/>
      <c r="IS74" s="19"/>
      <c r="IT74" s="19"/>
      <c r="IU74" s="19"/>
      <c r="IV74" s="19"/>
      <c r="IW74" s="19"/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BC72-6F97-4E81-8489-31A744C9683C}">
  <dimension ref="A1:B168"/>
  <sheetViews>
    <sheetView topLeftCell="A166" workbookViewId="0">
      <selection activeCell="D172" sqref="D172"/>
    </sheetView>
  </sheetViews>
  <sheetFormatPr defaultRowHeight="18.75"/>
  <sheetData>
    <row r="1" spans="1:2">
      <c r="A1" s="1" t="s">
        <v>3</v>
      </c>
      <c r="B1" s="2" t="s">
        <v>174</v>
      </c>
    </row>
    <row r="2" spans="1:2">
      <c r="A2" s="1" t="s">
        <v>175</v>
      </c>
      <c r="B2" s="2" t="s">
        <v>176</v>
      </c>
    </row>
    <row r="3" spans="1:2">
      <c r="A3" s="2" t="s">
        <v>177</v>
      </c>
      <c r="B3" s="2" t="s">
        <v>178</v>
      </c>
    </row>
    <row r="4" spans="1:2">
      <c r="A4" s="3" t="s">
        <v>21</v>
      </c>
      <c r="B4" s="2" t="s">
        <v>179</v>
      </c>
    </row>
    <row r="5" spans="1:2">
      <c r="A5" s="3" t="s">
        <v>22</v>
      </c>
      <c r="B5" s="2" t="s">
        <v>180</v>
      </c>
    </row>
    <row r="6" spans="1:2">
      <c r="A6" s="3" t="s">
        <v>23</v>
      </c>
      <c r="B6" s="2" t="s">
        <v>181</v>
      </c>
    </row>
    <row r="7" spans="1:2">
      <c r="A7" s="3" t="s">
        <v>24</v>
      </c>
      <c r="B7" s="2" t="s">
        <v>182</v>
      </c>
    </row>
    <row r="8" spans="1:2">
      <c r="A8" s="3" t="s">
        <v>25</v>
      </c>
      <c r="B8" s="2" t="s">
        <v>183</v>
      </c>
    </row>
    <row r="9" spans="1:2">
      <c r="A9" s="3" t="s">
        <v>26</v>
      </c>
      <c r="B9" s="2" t="s">
        <v>184</v>
      </c>
    </row>
    <row r="10" spans="1:2">
      <c r="A10" s="3" t="s">
        <v>28</v>
      </c>
      <c r="B10" s="2" t="s">
        <v>185</v>
      </c>
    </row>
    <row r="11" spans="1:2">
      <c r="A11" s="3" t="s">
        <v>29</v>
      </c>
      <c r="B11" s="2" t="s">
        <v>186</v>
      </c>
    </row>
    <row r="12" spans="1:2">
      <c r="A12" s="3" t="s">
        <v>30</v>
      </c>
      <c r="B12" s="2" t="s">
        <v>187</v>
      </c>
    </row>
    <row r="13" spans="1:2">
      <c r="A13" s="3" t="s">
        <v>31</v>
      </c>
      <c r="B13" s="2" t="s">
        <v>188</v>
      </c>
    </row>
    <row r="14" spans="1:2">
      <c r="A14" s="3" t="s">
        <v>33</v>
      </c>
      <c r="B14" s="2" t="s">
        <v>189</v>
      </c>
    </row>
    <row r="15" spans="1:2">
      <c r="A15" s="3" t="s">
        <v>34</v>
      </c>
      <c r="B15" s="2" t="s">
        <v>190</v>
      </c>
    </row>
    <row r="16" spans="1:2">
      <c r="A16" s="3" t="s">
        <v>37</v>
      </c>
      <c r="B16" s="2" t="s">
        <v>191</v>
      </c>
    </row>
    <row r="17" spans="1:2">
      <c r="A17" s="3" t="s">
        <v>38</v>
      </c>
      <c r="B17" s="2" t="s">
        <v>192</v>
      </c>
    </row>
    <row r="18" spans="1:2">
      <c r="A18" s="3" t="s">
        <v>40</v>
      </c>
      <c r="B18" s="2" t="s">
        <v>193</v>
      </c>
    </row>
    <row r="19" spans="1:2">
      <c r="A19" s="3" t="s">
        <v>41</v>
      </c>
      <c r="B19" s="2" t="s">
        <v>194</v>
      </c>
    </row>
    <row r="20" spans="1:2">
      <c r="A20" s="3" t="s">
        <v>42</v>
      </c>
      <c r="B20" s="2" t="s">
        <v>195</v>
      </c>
    </row>
    <row r="21" spans="1:2">
      <c r="A21" s="3" t="s">
        <v>43</v>
      </c>
      <c r="B21" s="2" t="s">
        <v>196</v>
      </c>
    </row>
    <row r="22" spans="1:2">
      <c r="A22" s="3" t="s">
        <v>48</v>
      </c>
      <c r="B22" s="2" t="s">
        <v>197</v>
      </c>
    </row>
    <row r="23" spans="1:2">
      <c r="A23" s="3" t="s">
        <v>49</v>
      </c>
      <c r="B23" s="2" t="s">
        <v>198</v>
      </c>
    </row>
    <row r="24" spans="1:2">
      <c r="A24" s="3" t="s">
        <v>50</v>
      </c>
      <c r="B24" s="2" t="s">
        <v>199</v>
      </c>
    </row>
    <row r="25" spans="1:2">
      <c r="A25" s="3" t="s">
        <v>51</v>
      </c>
      <c r="B25" s="2" t="s">
        <v>200</v>
      </c>
    </row>
    <row r="26" spans="1:2">
      <c r="A26" s="3" t="s">
        <v>201</v>
      </c>
      <c r="B26" s="2" t="s">
        <v>202</v>
      </c>
    </row>
    <row r="27" spans="1:2">
      <c r="A27" s="3" t="s">
        <v>56</v>
      </c>
      <c r="B27" s="2" t="s">
        <v>203</v>
      </c>
    </row>
    <row r="28" spans="1:2">
      <c r="A28" s="3" t="s">
        <v>57</v>
      </c>
      <c r="B28" s="2" t="s">
        <v>204</v>
      </c>
    </row>
    <row r="29" spans="1:2">
      <c r="A29" s="3" t="s">
        <v>58</v>
      </c>
      <c r="B29" s="2" t="s">
        <v>205</v>
      </c>
    </row>
    <row r="30" spans="1:2">
      <c r="A30" s="3" t="s">
        <v>59</v>
      </c>
      <c r="B30" s="2" t="s">
        <v>206</v>
      </c>
    </row>
    <row r="31" spans="1:2">
      <c r="A31" s="3" t="s">
        <v>60</v>
      </c>
      <c r="B31" s="2" t="s">
        <v>207</v>
      </c>
    </row>
    <row r="32" spans="1:2">
      <c r="A32" s="3" t="s">
        <v>61</v>
      </c>
      <c r="B32" s="2" t="s">
        <v>208</v>
      </c>
    </row>
    <row r="33" spans="1:2">
      <c r="A33" s="3" t="s">
        <v>62</v>
      </c>
      <c r="B33" s="2" t="s">
        <v>209</v>
      </c>
    </row>
    <row r="34" spans="1:2">
      <c r="A34" s="3" t="s">
        <v>63</v>
      </c>
      <c r="B34" s="2" t="s">
        <v>210</v>
      </c>
    </row>
    <row r="35" spans="1:2">
      <c r="A35" s="3" t="s">
        <v>64</v>
      </c>
      <c r="B35" s="2" t="s">
        <v>211</v>
      </c>
    </row>
    <row r="36" spans="1:2">
      <c r="A36" s="3" t="s">
        <v>65</v>
      </c>
      <c r="B36" s="2" t="s">
        <v>212</v>
      </c>
    </row>
    <row r="37" spans="1:2">
      <c r="A37" s="3" t="s">
        <v>213</v>
      </c>
      <c r="B37" s="2" t="s">
        <v>214</v>
      </c>
    </row>
    <row r="38" spans="1:2">
      <c r="A38" s="3" t="s">
        <v>67</v>
      </c>
      <c r="B38" s="2" t="s">
        <v>215</v>
      </c>
    </row>
    <row r="39" spans="1:2">
      <c r="A39" s="3" t="s">
        <v>68</v>
      </c>
      <c r="B39" s="2" t="s">
        <v>216</v>
      </c>
    </row>
    <row r="40" spans="1:2">
      <c r="A40" s="3" t="s">
        <v>69</v>
      </c>
      <c r="B40" s="2" t="s">
        <v>217</v>
      </c>
    </row>
    <row r="41" spans="1:2">
      <c r="A41" s="4" t="s">
        <v>73</v>
      </c>
      <c r="B41" s="2" t="s">
        <v>218</v>
      </c>
    </row>
    <row r="42" spans="1:2">
      <c r="A42" s="3" t="s">
        <v>72</v>
      </c>
      <c r="B42" s="2" t="s">
        <v>219</v>
      </c>
    </row>
    <row r="43" spans="1:2">
      <c r="A43" s="3" t="s">
        <v>75</v>
      </c>
      <c r="B43" s="2" t="s">
        <v>220</v>
      </c>
    </row>
    <row r="44" spans="1:2">
      <c r="A44" s="3" t="s">
        <v>76</v>
      </c>
      <c r="B44" s="2" t="s">
        <v>221</v>
      </c>
    </row>
    <row r="45" spans="1:2">
      <c r="A45" s="3" t="s">
        <v>77</v>
      </c>
      <c r="B45" s="2" t="s">
        <v>222</v>
      </c>
    </row>
    <row r="46" spans="1:2">
      <c r="A46" s="3" t="s">
        <v>80</v>
      </c>
      <c r="B46" s="2" t="s">
        <v>223</v>
      </c>
    </row>
    <row r="47" spans="1:2">
      <c r="A47" s="3" t="s">
        <v>81</v>
      </c>
      <c r="B47" s="2" t="s">
        <v>224</v>
      </c>
    </row>
    <row r="48" spans="1:2">
      <c r="A48" s="3" t="s">
        <v>82</v>
      </c>
      <c r="B48" s="2" t="s">
        <v>225</v>
      </c>
    </row>
    <row r="49" spans="1:2">
      <c r="A49" s="3" t="s">
        <v>83</v>
      </c>
      <c r="B49" s="2" t="s">
        <v>226</v>
      </c>
    </row>
    <row r="50" spans="1:2">
      <c r="A50" s="3" t="s">
        <v>84</v>
      </c>
      <c r="B50" s="2" t="s">
        <v>227</v>
      </c>
    </row>
    <row r="51" spans="1:2">
      <c r="A51" s="3" t="s">
        <v>85</v>
      </c>
      <c r="B51" s="2" t="s">
        <v>228</v>
      </c>
    </row>
    <row r="52" spans="1:2">
      <c r="A52" s="3" t="s">
        <v>86</v>
      </c>
      <c r="B52" s="2" t="s">
        <v>229</v>
      </c>
    </row>
    <row r="53" spans="1:2">
      <c r="A53" s="3" t="s">
        <v>87</v>
      </c>
      <c r="B53" s="2" t="s">
        <v>230</v>
      </c>
    </row>
    <row r="54" spans="1:2">
      <c r="A54" s="3" t="s">
        <v>88</v>
      </c>
      <c r="B54" s="2" t="s">
        <v>231</v>
      </c>
    </row>
    <row r="55" spans="1:2">
      <c r="A55" s="3" t="s">
        <v>89</v>
      </c>
      <c r="B55" s="2" t="s">
        <v>232</v>
      </c>
    </row>
    <row r="56" spans="1:2">
      <c r="A56" s="3" t="s">
        <v>90</v>
      </c>
      <c r="B56" s="2" t="s">
        <v>233</v>
      </c>
    </row>
    <row r="57" spans="1:2">
      <c r="A57" s="3" t="s">
        <v>91</v>
      </c>
      <c r="B57" s="2" t="s">
        <v>234</v>
      </c>
    </row>
    <row r="58" spans="1:2">
      <c r="A58" s="3" t="s">
        <v>92</v>
      </c>
      <c r="B58" s="2" t="s">
        <v>235</v>
      </c>
    </row>
    <row r="59" spans="1:2">
      <c r="A59" s="3" t="s">
        <v>93</v>
      </c>
      <c r="B59" s="2" t="s">
        <v>236</v>
      </c>
    </row>
    <row r="60" spans="1:2">
      <c r="A60" s="3" t="s">
        <v>94</v>
      </c>
      <c r="B60" s="2" t="s">
        <v>237</v>
      </c>
    </row>
    <row r="61" spans="1:2">
      <c r="A61" s="3" t="s">
        <v>95</v>
      </c>
      <c r="B61" s="2" t="s">
        <v>238</v>
      </c>
    </row>
    <row r="62" spans="1:2">
      <c r="A62" s="3" t="s">
        <v>96</v>
      </c>
      <c r="B62" s="2" t="s">
        <v>239</v>
      </c>
    </row>
    <row r="63" spans="1:2">
      <c r="A63" s="3" t="s">
        <v>97</v>
      </c>
      <c r="B63" s="2" t="s">
        <v>240</v>
      </c>
    </row>
    <row r="64" spans="1:2">
      <c r="A64" s="3" t="s">
        <v>98</v>
      </c>
      <c r="B64" s="2" t="s">
        <v>241</v>
      </c>
    </row>
    <row r="65" spans="1:2">
      <c r="A65" s="3" t="s">
        <v>99</v>
      </c>
      <c r="B65" s="2" t="s">
        <v>242</v>
      </c>
    </row>
    <row r="66" spans="1:2">
      <c r="A66" s="3" t="s">
        <v>100</v>
      </c>
      <c r="B66" s="2" t="s">
        <v>243</v>
      </c>
    </row>
    <row r="67" spans="1:2">
      <c r="A67" s="3" t="s">
        <v>101</v>
      </c>
      <c r="B67" s="2" t="s">
        <v>244</v>
      </c>
    </row>
    <row r="68" spans="1:2">
      <c r="A68" s="3" t="s">
        <v>102</v>
      </c>
      <c r="B68" s="2" t="s">
        <v>245</v>
      </c>
    </row>
    <row r="69" spans="1:2">
      <c r="A69" s="3" t="s">
        <v>103</v>
      </c>
      <c r="B69" s="2" t="s">
        <v>246</v>
      </c>
    </row>
    <row r="70" spans="1:2">
      <c r="A70" s="3" t="s">
        <v>104</v>
      </c>
      <c r="B70" s="2" t="s">
        <v>247</v>
      </c>
    </row>
    <row r="71" spans="1:2">
      <c r="A71" s="3" t="s">
        <v>105</v>
      </c>
      <c r="B71" s="2" t="s">
        <v>248</v>
      </c>
    </row>
    <row r="72" spans="1:2">
      <c r="A72" s="3" t="s">
        <v>106</v>
      </c>
      <c r="B72" s="2" t="s">
        <v>249</v>
      </c>
    </row>
    <row r="73" spans="1:2">
      <c r="A73" s="3" t="s">
        <v>107</v>
      </c>
      <c r="B73" s="2" t="s">
        <v>250</v>
      </c>
    </row>
    <row r="74" spans="1:2">
      <c r="A74" s="3" t="s">
        <v>108</v>
      </c>
      <c r="B74" s="2" t="s">
        <v>251</v>
      </c>
    </row>
    <row r="75" spans="1:2">
      <c r="A75" s="3" t="s">
        <v>109</v>
      </c>
      <c r="B75" s="2" t="s">
        <v>252</v>
      </c>
    </row>
    <row r="76" spans="1:2">
      <c r="A76" s="3" t="s">
        <v>110</v>
      </c>
      <c r="B76" s="2" t="s">
        <v>253</v>
      </c>
    </row>
    <row r="77" spans="1:2">
      <c r="A77" s="3" t="s">
        <v>111</v>
      </c>
      <c r="B77" s="2" t="s">
        <v>254</v>
      </c>
    </row>
    <row r="78" spans="1:2">
      <c r="A78" s="3" t="s">
        <v>113</v>
      </c>
      <c r="B78" s="2" t="s">
        <v>255</v>
      </c>
    </row>
    <row r="79" spans="1:2">
      <c r="A79" s="3" t="s">
        <v>114</v>
      </c>
      <c r="B79" s="2" t="s">
        <v>256</v>
      </c>
    </row>
    <row r="80" spans="1:2">
      <c r="A80" s="3" t="s">
        <v>115</v>
      </c>
      <c r="B80" s="2" t="s">
        <v>257</v>
      </c>
    </row>
    <row r="81" spans="1:2">
      <c r="A81" s="3" t="s">
        <v>116</v>
      </c>
      <c r="B81" s="2" t="s">
        <v>258</v>
      </c>
    </row>
    <row r="82" spans="1:2">
      <c r="A82" s="3" t="s">
        <v>118</v>
      </c>
      <c r="B82" s="2" t="s">
        <v>259</v>
      </c>
    </row>
    <row r="83" spans="1:2">
      <c r="A83" s="3" t="s">
        <v>119</v>
      </c>
      <c r="B83" s="2" t="s">
        <v>260</v>
      </c>
    </row>
    <row r="84" spans="1:2">
      <c r="A84" s="3" t="s">
        <v>121</v>
      </c>
      <c r="B84" s="2" t="s">
        <v>261</v>
      </c>
    </row>
    <row r="85" spans="1:2">
      <c r="A85" s="3" t="s">
        <v>122</v>
      </c>
      <c r="B85" s="2" t="s">
        <v>262</v>
      </c>
    </row>
    <row r="86" spans="1:2">
      <c r="A86" s="3" t="s">
        <v>123</v>
      </c>
      <c r="B86" s="2" t="s">
        <v>263</v>
      </c>
    </row>
    <row r="87" spans="1:2">
      <c r="A87" s="3" t="s">
        <v>124</v>
      </c>
      <c r="B87" s="2" t="s">
        <v>264</v>
      </c>
    </row>
    <row r="88" spans="1:2">
      <c r="A88" s="3" t="s">
        <v>125</v>
      </c>
      <c r="B88" s="2" t="s">
        <v>265</v>
      </c>
    </row>
    <row r="89" spans="1:2">
      <c r="A89" s="3" t="s">
        <v>266</v>
      </c>
      <c r="B89" s="2" t="s">
        <v>267</v>
      </c>
    </row>
    <row r="90" spans="1:2">
      <c r="A90" s="3" t="s">
        <v>127</v>
      </c>
      <c r="B90" s="2" t="s">
        <v>268</v>
      </c>
    </row>
    <row r="91" spans="1:2">
      <c r="A91" s="3" t="s">
        <v>129</v>
      </c>
      <c r="B91" s="2" t="s">
        <v>269</v>
      </c>
    </row>
    <row r="92" spans="1:2">
      <c r="A92" s="3" t="s">
        <v>130</v>
      </c>
      <c r="B92" s="2" t="s">
        <v>270</v>
      </c>
    </row>
    <row r="93" spans="1:2">
      <c r="A93" s="3" t="s">
        <v>132</v>
      </c>
      <c r="B93" s="2" t="s">
        <v>271</v>
      </c>
    </row>
    <row r="94" spans="1:2">
      <c r="A94" s="3" t="s">
        <v>134</v>
      </c>
      <c r="B94" s="2" t="s">
        <v>272</v>
      </c>
    </row>
    <row r="95" spans="1:2">
      <c r="A95" s="3" t="s">
        <v>135</v>
      </c>
      <c r="B95" s="2" t="s">
        <v>273</v>
      </c>
    </row>
    <row r="96" spans="1:2">
      <c r="A96" s="3" t="s">
        <v>136</v>
      </c>
      <c r="B96" s="2" t="s">
        <v>274</v>
      </c>
    </row>
    <row r="97" spans="1:2">
      <c r="A97" s="3" t="s">
        <v>137</v>
      </c>
      <c r="B97" s="2" t="s">
        <v>275</v>
      </c>
    </row>
    <row r="98" spans="1:2">
      <c r="A98" s="3" t="s">
        <v>276</v>
      </c>
      <c r="B98" s="2" t="s">
        <v>277</v>
      </c>
    </row>
    <row r="99" spans="1:2">
      <c r="A99" s="3" t="s">
        <v>278</v>
      </c>
      <c r="B99" s="2" t="s">
        <v>279</v>
      </c>
    </row>
    <row r="100" spans="1:2">
      <c r="A100" s="3" t="s">
        <v>141</v>
      </c>
      <c r="B100" s="2" t="s">
        <v>280</v>
      </c>
    </row>
    <row r="101" spans="1:2">
      <c r="A101" s="3" t="s">
        <v>281</v>
      </c>
      <c r="B101" s="2" t="s">
        <v>282</v>
      </c>
    </row>
    <row r="102" spans="1:2">
      <c r="A102" s="3" t="s">
        <v>142</v>
      </c>
      <c r="B102" s="2" t="s">
        <v>283</v>
      </c>
    </row>
    <row r="103" spans="1:2">
      <c r="A103" s="3" t="s">
        <v>143</v>
      </c>
      <c r="B103" s="2" t="s">
        <v>284</v>
      </c>
    </row>
    <row r="104" spans="1:2">
      <c r="A104" s="3" t="s">
        <v>144</v>
      </c>
      <c r="B104" s="2" t="s">
        <v>285</v>
      </c>
    </row>
    <row r="105" spans="1:2">
      <c r="A105" s="3" t="s">
        <v>286</v>
      </c>
      <c r="B105" s="2" t="s">
        <v>287</v>
      </c>
    </row>
    <row r="106" spans="1:2">
      <c r="A106" s="3" t="s">
        <v>146</v>
      </c>
      <c r="B106" s="2" t="s">
        <v>288</v>
      </c>
    </row>
    <row r="107" spans="1:2">
      <c r="A107" s="3" t="s">
        <v>289</v>
      </c>
      <c r="B107" s="2" t="s">
        <v>290</v>
      </c>
    </row>
    <row r="108" spans="1:2">
      <c r="A108" s="3" t="s">
        <v>148</v>
      </c>
      <c r="B108" s="2" t="s">
        <v>291</v>
      </c>
    </row>
    <row r="109" spans="1:2">
      <c r="A109" s="3" t="s">
        <v>292</v>
      </c>
      <c r="B109" s="2" t="s">
        <v>293</v>
      </c>
    </row>
    <row r="110" spans="1:2">
      <c r="A110" s="3" t="s">
        <v>294</v>
      </c>
      <c r="B110" s="2" t="s">
        <v>295</v>
      </c>
    </row>
    <row r="111" spans="1:2">
      <c r="A111" s="3" t="s">
        <v>153</v>
      </c>
      <c r="B111" s="2" t="s">
        <v>296</v>
      </c>
    </row>
    <row r="112" spans="1:2">
      <c r="A112" s="3" t="s">
        <v>154</v>
      </c>
      <c r="B112" s="2" t="s">
        <v>297</v>
      </c>
    </row>
    <row r="113" spans="1:2">
      <c r="A113" s="3" t="s">
        <v>155</v>
      </c>
      <c r="B113" s="2" t="s">
        <v>298</v>
      </c>
    </row>
    <row r="114" spans="1:2">
      <c r="A114" s="3" t="s">
        <v>156</v>
      </c>
      <c r="B114" s="2" t="s">
        <v>299</v>
      </c>
    </row>
    <row r="115" spans="1:2">
      <c r="A115" s="3" t="s">
        <v>158</v>
      </c>
      <c r="B115" s="2" t="s">
        <v>300</v>
      </c>
    </row>
    <row r="116" spans="1:2">
      <c r="A116" s="3" t="s">
        <v>159</v>
      </c>
      <c r="B116" s="2" t="s">
        <v>301</v>
      </c>
    </row>
    <row r="117" spans="1:2">
      <c r="A117" s="3" t="s">
        <v>160</v>
      </c>
      <c r="B117" s="2" t="s">
        <v>302</v>
      </c>
    </row>
    <row r="118" spans="1:2">
      <c r="A118" s="5" t="s">
        <v>303</v>
      </c>
      <c r="B118" s="2" t="s">
        <v>304</v>
      </c>
    </row>
    <row r="119" spans="1:2">
      <c r="A119" s="3" t="s">
        <v>163</v>
      </c>
      <c r="B119" s="2" t="s">
        <v>305</v>
      </c>
    </row>
    <row r="120" spans="1:2">
      <c r="A120" s="3" t="s">
        <v>164</v>
      </c>
      <c r="B120" s="2" t="s">
        <v>306</v>
      </c>
    </row>
    <row r="121" spans="1:2">
      <c r="A121" s="3" t="s">
        <v>165</v>
      </c>
      <c r="B121" s="2" t="s">
        <v>307</v>
      </c>
    </row>
    <row r="122" spans="1:2">
      <c r="A122" s="3" t="s">
        <v>167</v>
      </c>
      <c r="B122" s="2" t="s">
        <v>308</v>
      </c>
    </row>
    <row r="123" spans="1:2">
      <c r="A123" s="3" t="s">
        <v>168</v>
      </c>
      <c r="B123" s="2" t="s">
        <v>309</v>
      </c>
    </row>
    <row r="124" spans="1:2">
      <c r="A124" s="3" t="s">
        <v>170</v>
      </c>
      <c r="B124" s="2" t="s">
        <v>310</v>
      </c>
    </row>
    <row r="125" spans="1:2">
      <c r="A125" s="3" t="s">
        <v>171</v>
      </c>
      <c r="B125" s="2" t="s">
        <v>311</v>
      </c>
    </row>
    <row r="126" spans="1:2">
      <c r="A126" s="3" t="s">
        <v>172</v>
      </c>
      <c r="B126" s="2" t="s">
        <v>312</v>
      </c>
    </row>
    <row r="127" spans="1:2">
      <c r="A127" s="3" t="s">
        <v>173</v>
      </c>
      <c r="B127" s="2" t="s">
        <v>313</v>
      </c>
    </row>
    <row r="128" spans="1:2">
      <c r="A128" s="3" t="s">
        <v>95</v>
      </c>
      <c r="B128" s="2" t="s">
        <v>238</v>
      </c>
    </row>
    <row r="129" spans="1:2">
      <c r="A129" s="6" t="s">
        <v>314</v>
      </c>
      <c r="B129" s="7" t="s">
        <v>315</v>
      </c>
    </row>
    <row r="130" spans="1:2">
      <c r="A130" s="6" t="s">
        <v>281</v>
      </c>
      <c r="B130" s="7" t="s">
        <v>282</v>
      </c>
    </row>
    <row r="131" spans="1:2">
      <c r="A131" s="3" t="s">
        <v>316</v>
      </c>
      <c r="B131" s="2" t="s">
        <v>317</v>
      </c>
    </row>
    <row r="132" spans="1:2">
      <c r="A132" s="3" t="s">
        <v>74</v>
      </c>
      <c r="B132" s="2" t="s">
        <v>318</v>
      </c>
    </row>
    <row r="133" spans="1:2">
      <c r="A133" s="3" t="s">
        <v>319</v>
      </c>
      <c r="B133" s="2" t="s">
        <v>320</v>
      </c>
    </row>
    <row r="134" spans="1:2">
      <c r="A134" s="8" t="s">
        <v>321</v>
      </c>
      <c r="B134" s="9" t="s">
        <v>322</v>
      </c>
    </row>
    <row r="135" spans="1:2">
      <c r="A135" s="8" t="s">
        <v>323</v>
      </c>
      <c r="B135" s="9" t="s">
        <v>324</v>
      </c>
    </row>
    <row r="136" spans="1:2">
      <c r="A136" s="8" t="s">
        <v>325</v>
      </c>
      <c r="B136" s="9" t="s">
        <v>326</v>
      </c>
    </row>
    <row r="137" spans="1:2">
      <c r="A137" s="3" t="s">
        <v>327</v>
      </c>
      <c r="B137" s="2" t="s">
        <v>328</v>
      </c>
    </row>
    <row r="138" spans="1:2">
      <c r="A138" s="3" t="s">
        <v>329</v>
      </c>
      <c r="B138" s="2" t="s">
        <v>330</v>
      </c>
    </row>
    <row r="139" spans="1:2">
      <c r="A139" s="3" t="s">
        <v>128</v>
      </c>
      <c r="B139" s="2" t="s">
        <v>331</v>
      </c>
    </row>
    <row r="140" spans="1:2">
      <c r="A140" s="3" t="s">
        <v>332</v>
      </c>
      <c r="B140" s="2" t="s">
        <v>333</v>
      </c>
    </row>
    <row r="141" spans="1:2">
      <c r="A141" s="10" t="s">
        <v>78</v>
      </c>
      <c r="B141" s="11" t="s">
        <v>334</v>
      </c>
    </row>
    <row r="142" spans="1:2">
      <c r="A142" s="4" t="s">
        <v>35</v>
      </c>
      <c r="B142" s="11" t="s">
        <v>335</v>
      </c>
    </row>
    <row r="143" spans="1:2">
      <c r="A143" s="4" t="s">
        <v>336</v>
      </c>
      <c r="B143" s="11" t="s">
        <v>337</v>
      </c>
    </row>
    <row r="144" spans="1:2">
      <c r="A144" s="4" t="s">
        <v>39</v>
      </c>
      <c r="B144" s="11" t="s">
        <v>338</v>
      </c>
    </row>
    <row r="145" spans="1:2">
      <c r="A145" s="4" t="s">
        <v>47</v>
      </c>
      <c r="B145" s="11" t="s">
        <v>339</v>
      </c>
    </row>
    <row r="146" spans="1:2">
      <c r="A146" s="4" t="s">
        <v>52</v>
      </c>
      <c r="B146" s="11" t="s">
        <v>340</v>
      </c>
    </row>
    <row r="147" spans="1:2">
      <c r="A147" s="4" t="s">
        <v>54</v>
      </c>
      <c r="B147" s="11" t="s">
        <v>341</v>
      </c>
    </row>
    <row r="148" spans="1:2">
      <c r="A148" s="4" t="s">
        <v>55</v>
      </c>
      <c r="B148" s="11" t="s">
        <v>342</v>
      </c>
    </row>
    <row r="149" spans="1:2">
      <c r="A149" s="4" t="s">
        <v>27</v>
      </c>
      <c r="B149" s="11" t="s">
        <v>343</v>
      </c>
    </row>
    <row r="150" spans="1:2">
      <c r="A150" s="4" t="s">
        <v>32</v>
      </c>
      <c r="B150" s="11" t="s">
        <v>344</v>
      </c>
    </row>
    <row r="151" spans="1:2">
      <c r="A151" s="4" t="s">
        <v>112</v>
      </c>
      <c r="B151" s="11" t="s">
        <v>345</v>
      </c>
    </row>
    <row r="152" spans="1:2">
      <c r="A152" s="4" t="s">
        <v>346</v>
      </c>
      <c r="B152" s="11" t="s">
        <v>347</v>
      </c>
    </row>
    <row r="153" spans="1:2">
      <c r="A153" s="4" t="s">
        <v>117</v>
      </c>
      <c r="B153" s="11" t="s">
        <v>348</v>
      </c>
    </row>
    <row r="154" spans="1:2">
      <c r="A154" s="4" t="s">
        <v>120</v>
      </c>
      <c r="B154" s="11" t="s">
        <v>349</v>
      </c>
    </row>
    <row r="155" spans="1:2">
      <c r="A155" s="4" t="s">
        <v>133</v>
      </c>
      <c r="B155" s="11" t="s">
        <v>350</v>
      </c>
    </row>
    <row r="156" spans="1:2">
      <c r="A156" s="4" t="s">
        <v>138</v>
      </c>
      <c r="B156" s="11" t="s">
        <v>351</v>
      </c>
    </row>
    <row r="157" spans="1:2">
      <c r="A157" s="4" t="s">
        <v>145</v>
      </c>
      <c r="B157" s="11" t="s">
        <v>352</v>
      </c>
    </row>
    <row r="158" spans="1:2">
      <c r="A158" s="4" t="s">
        <v>161</v>
      </c>
      <c r="B158" s="11" t="s">
        <v>353</v>
      </c>
    </row>
    <row r="159" spans="1:2">
      <c r="A159" s="4" t="s">
        <v>354</v>
      </c>
      <c r="B159" s="11" t="s">
        <v>355</v>
      </c>
    </row>
    <row r="160" spans="1:2">
      <c r="A160" s="4" t="s">
        <v>70</v>
      </c>
      <c r="B160" s="12" t="s">
        <v>356</v>
      </c>
    </row>
    <row r="161" spans="1:2">
      <c r="A161" s="12" t="s">
        <v>45</v>
      </c>
      <c r="B161" s="12" t="s">
        <v>357</v>
      </c>
    </row>
    <row r="162" spans="1:2">
      <c r="A162" s="4" t="s">
        <v>358</v>
      </c>
      <c r="B162" s="12" t="s">
        <v>359</v>
      </c>
    </row>
    <row r="163" spans="1:2">
      <c r="A163" s="4" t="s">
        <v>360</v>
      </c>
      <c r="B163" s="12" t="s">
        <v>361</v>
      </c>
    </row>
    <row r="164" spans="1:2">
      <c r="A164" s="13" t="s">
        <v>166</v>
      </c>
      <c r="B164" s="13" t="s">
        <v>362</v>
      </c>
    </row>
    <row r="165" spans="1:2">
      <c r="A165" s="13" t="s">
        <v>169</v>
      </c>
      <c r="B165" s="13" t="s">
        <v>363</v>
      </c>
    </row>
    <row r="166" spans="1:2">
      <c r="A166" s="14" t="s">
        <v>364</v>
      </c>
      <c r="B166" s="15" t="s">
        <v>365</v>
      </c>
    </row>
    <row r="167" spans="1:2">
      <c r="A167" t="s">
        <v>366</v>
      </c>
      <c r="B167" s="22" t="s">
        <v>367</v>
      </c>
    </row>
    <row r="168" spans="1:2">
      <c r="A168" t="s">
        <v>368</v>
      </c>
      <c r="B168" s="23" t="s">
        <v>369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SON-0502-NEC02</dc:creator>
  <cp:keywords/>
  <dc:description/>
  <cp:lastModifiedBy/>
  <cp:revision/>
  <dcterms:created xsi:type="dcterms:W3CDTF">2026-02-10T08:34:10Z</dcterms:created>
  <dcterms:modified xsi:type="dcterms:W3CDTF">2026-05-13T07:21:33Z</dcterms:modified>
  <cp:category/>
  <cp:contentStatus/>
</cp:coreProperties>
</file>