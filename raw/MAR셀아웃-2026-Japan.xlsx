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othersmilecompany-my.sharepoint.com/personal/yschoi_mothersmile_co_jp1/Documents/바탕 화면/개인 업무/Sell Out/"/>
    </mc:Choice>
  </mc:AlternateContent>
  <xr:revisionPtr revIDLastSave="3" documentId="8_{D2E0D1D1-D4A3-446B-BA80-B42E8976830F}" xr6:coauthVersionLast="47" xr6:coauthVersionMax="47" xr10:uidLastSave="{23B9A070-111D-4BAF-91B9-DA9D370FCBF4}"/>
  <bookViews>
    <workbookView xWindow="4200" yWindow="1290" windowWidth="28350" windowHeight="13500" activeTab="2" xr2:uid="{8EDF29C0-EEFB-415F-AE4E-728CB311B81C}"/>
  </bookViews>
  <sheets>
    <sheet name="Monthly Sell out by Items" sheetId="3" r:id="rId1"/>
    <sheet name="Stock on Hand2026.3" sheetId="1" r:id="rId2"/>
    <sheet name="Sell out MAR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5" i="3" l="1"/>
  <c r="G145" i="1"/>
  <c r="H145" i="1"/>
  <c r="N16" i="2"/>
  <c r="O165" i="3"/>
  <c r="M16" i="2"/>
  <c r="L10" i="2"/>
  <c r="L16" i="2" s="1"/>
  <c r="K7" i="2"/>
  <c r="K16" i="2" s="1"/>
  <c r="N165" i="3"/>
  <c r="M165" i="3"/>
  <c r="J16" i="2"/>
  <c r="L165" i="3"/>
  <c r="I16" i="2"/>
  <c r="K165" i="3"/>
  <c r="J165" i="3"/>
  <c r="D16" i="2"/>
  <c r="E16" i="2"/>
  <c r="F16" i="2"/>
  <c r="G16" i="2"/>
  <c r="H16" i="2"/>
  <c r="C16" i="2"/>
  <c r="I165" i="3" l="1"/>
  <c r="H165" i="3"/>
  <c r="G165" i="3"/>
  <c r="F165" i="3"/>
  <c r="E165" i="3"/>
</calcChain>
</file>

<file path=xl/sharedStrings.xml><?xml version="1.0" encoding="utf-8"?>
<sst xmlns="http://schemas.openxmlformats.org/spreadsheetml/2006/main" count="723" uniqueCount="326">
  <si>
    <t>Monthly Sell out by Items</t>
    <phoneticPr fontId="4"/>
  </si>
  <si>
    <t>Type</t>
  </si>
  <si>
    <t>Color</t>
  </si>
  <si>
    <t>Size</t>
  </si>
  <si>
    <t>Sell out</t>
    <phoneticPr fontId="3" type="noConversion"/>
  </si>
  <si>
    <t>Original</t>
    <phoneticPr fontId="3" type="noConversion"/>
  </si>
  <si>
    <t>Grey</t>
    <phoneticPr fontId="3" type="noConversion"/>
  </si>
  <si>
    <t>NB</t>
    <phoneticPr fontId="4"/>
  </si>
  <si>
    <t>S</t>
  </si>
  <si>
    <t>M</t>
  </si>
  <si>
    <t>DUSTY
BLUE</t>
    <phoneticPr fontId="5"/>
  </si>
  <si>
    <t>S</t>
    <phoneticPr fontId="5"/>
  </si>
  <si>
    <t>M</t>
    <phoneticPr fontId="5"/>
  </si>
  <si>
    <t>Sand</t>
    <phoneticPr fontId="5"/>
  </si>
  <si>
    <t>Blue</t>
    <phoneticPr fontId="4"/>
  </si>
  <si>
    <t>Pink</t>
    <phoneticPr fontId="3" type="noConversion"/>
  </si>
  <si>
    <t>DUSTY
PINK</t>
    <phoneticPr fontId="5"/>
  </si>
  <si>
    <t>White
(Dreamer)</t>
    <phoneticPr fontId="4"/>
  </si>
  <si>
    <t>Oat</t>
    <phoneticPr fontId="4"/>
  </si>
  <si>
    <t>White
(Rainbow)</t>
    <phoneticPr fontId="4"/>
  </si>
  <si>
    <t>White
(Cloud Bunnie)</t>
    <phoneticPr fontId="4"/>
  </si>
  <si>
    <t>PANDA CREAM</t>
  </si>
  <si>
    <t>BOWS CREAM</t>
  </si>
  <si>
    <t>Powder Pink
(Twinkle)</t>
    <phoneticPr fontId="4"/>
  </si>
  <si>
    <t>Powder Blue
(Twinkle)</t>
    <phoneticPr fontId="4"/>
  </si>
  <si>
    <t>Hounds Tooth
(Tan Check)</t>
    <phoneticPr fontId="4"/>
  </si>
  <si>
    <t>Organic</t>
  </si>
  <si>
    <t>Cream</t>
  </si>
  <si>
    <t>M</t>
    <phoneticPr fontId="3" type="noConversion"/>
  </si>
  <si>
    <t>Grey</t>
    <phoneticPr fontId="4"/>
  </si>
  <si>
    <t>Mint</t>
    <phoneticPr fontId="3" type="noConversion"/>
  </si>
  <si>
    <t>Bamboo Original</t>
    <phoneticPr fontId="5"/>
  </si>
  <si>
    <t>Mist Blue
(Boat)</t>
    <phoneticPr fontId="5"/>
  </si>
  <si>
    <t>Cream
(Lemon)</t>
    <phoneticPr fontId="5"/>
  </si>
  <si>
    <t>Blush
(Cherries)</t>
    <phoneticPr fontId="5"/>
  </si>
  <si>
    <t>Summer Lite</t>
    <phoneticPr fontId="3" type="noConversion"/>
  </si>
  <si>
    <t>OLIVE</t>
    <phoneticPr fontId="5"/>
  </si>
  <si>
    <t>Grey
(yrm)</t>
    <phoneticPr fontId="5"/>
  </si>
  <si>
    <t>White　(yrm)</t>
    <phoneticPr fontId="3" type="noConversion"/>
  </si>
  <si>
    <t>Blue</t>
    <phoneticPr fontId="5"/>
  </si>
  <si>
    <t>Soft Blue</t>
    <phoneticPr fontId="4"/>
  </si>
  <si>
    <t>Blush</t>
    <phoneticPr fontId="4"/>
  </si>
  <si>
    <t>S</t>
    <phoneticPr fontId="3" type="noConversion"/>
  </si>
  <si>
    <t>Cotton　Fleece</t>
    <phoneticPr fontId="4"/>
  </si>
  <si>
    <t>CT-W</t>
    <phoneticPr fontId="5"/>
  </si>
  <si>
    <t>CT-LO</t>
  </si>
  <si>
    <t>Oat
(Twigs)</t>
    <phoneticPr fontId="4"/>
  </si>
  <si>
    <t>Olive</t>
    <phoneticPr fontId="4"/>
  </si>
  <si>
    <t>Bamboo Lite</t>
  </si>
  <si>
    <t>CREAM</t>
    <phoneticPr fontId="5"/>
  </si>
  <si>
    <t>White</t>
    <phoneticPr fontId="3" type="noConversion"/>
  </si>
  <si>
    <t>Mist Blue
(Sunny)</t>
    <phoneticPr fontId="4"/>
  </si>
  <si>
    <t>Gold
(Sunny)</t>
    <phoneticPr fontId="4"/>
  </si>
  <si>
    <t>Blush
(Heart)</t>
    <phoneticPr fontId="4"/>
  </si>
  <si>
    <t>T/B Original
（旧50/50）</t>
    <rPh sb="14" eb="15">
      <t>ｷｭｳ</t>
    </rPh>
    <phoneticPr fontId="3" type="noConversion"/>
  </si>
  <si>
    <t>Grey</t>
  </si>
  <si>
    <t>L</t>
  </si>
  <si>
    <t>PANDA
CREAM</t>
  </si>
  <si>
    <t>BOWS
CREAM</t>
  </si>
  <si>
    <t>T/B Bamboo Original</t>
    <phoneticPr fontId="5"/>
  </si>
  <si>
    <t>Mist Blue
(Boat)</t>
    <phoneticPr fontId="4"/>
  </si>
  <si>
    <t>Cream
(Lemon)</t>
    <phoneticPr fontId="4"/>
  </si>
  <si>
    <t>Blush
(Cherrie)</t>
    <phoneticPr fontId="4"/>
  </si>
  <si>
    <t>T/B Lite</t>
    <phoneticPr fontId="5"/>
  </si>
  <si>
    <t>Aqua</t>
    <phoneticPr fontId="3" type="noConversion"/>
  </si>
  <si>
    <t>White
（WY)</t>
    <phoneticPr fontId="3" type="noConversion"/>
  </si>
  <si>
    <t>T/B COTTON FLEECE</t>
    <phoneticPr fontId="5"/>
  </si>
  <si>
    <t>L</t>
    <phoneticPr fontId="5"/>
  </si>
  <si>
    <t>Olive
(Twigs)</t>
    <phoneticPr fontId="4"/>
  </si>
  <si>
    <t>TB-CT-W</t>
    <phoneticPr fontId="5"/>
  </si>
  <si>
    <t>T/B Bamboo Lite</t>
    <phoneticPr fontId="3" type="noConversion"/>
  </si>
  <si>
    <t>Grey
XOXO</t>
    <phoneticPr fontId="3" type="noConversion"/>
  </si>
  <si>
    <t>L</t>
    <phoneticPr fontId="3" type="noConversion"/>
  </si>
  <si>
    <t>SUIT LITE</t>
    <phoneticPr fontId="4"/>
  </si>
  <si>
    <t>M</t>
    <phoneticPr fontId="4"/>
  </si>
  <si>
    <t>Pink</t>
    <phoneticPr fontId="4"/>
  </si>
  <si>
    <t>SUIT LITE Organic</t>
    <phoneticPr fontId="5"/>
  </si>
  <si>
    <t>Breton Stripe</t>
    <phoneticPr fontId="5"/>
  </si>
  <si>
    <t>One
size</t>
    <phoneticPr fontId="5"/>
  </si>
  <si>
    <t>SUIT Original</t>
    <phoneticPr fontId="5"/>
  </si>
  <si>
    <t>Hounds Tooth
(Tan check)</t>
    <phoneticPr fontId="4"/>
  </si>
  <si>
    <t>SUIT Cotton Fleece</t>
    <phoneticPr fontId="5"/>
  </si>
  <si>
    <t>Bag LITE ORGANIC</t>
    <phoneticPr fontId="5"/>
  </si>
  <si>
    <t>Bag ORIGINAL</t>
    <phoneticPr fontId="5"/>
  </si>
  <si>
    <t>Powder Blue
(Twinkle)</t>
    <phoneticPr fontId="5"/>
  </si>
  <si>
    <t>Powder Pink
(Twinkle)</t>
    <phoneticPr fontId="5"/>
  </si>
  <si>
    <t>Hounds Tooth
(Tan check)</t>
    <phoneticPr fontId="5"/>
  </si>
  <si>
    <t>Bag Cotton Fleece</t>
    <phoneticPr fontId="5"/>
  </si>
  <si>
    <t>winter warm</t>
    <phoneticPr fontId="3" type="noConversion"/>
  </si>
  <si>
    <t>S</t>
    <phoneticPr fontId="4"/>
  </si>
  <si>
    <t>T/B winter warm</t>
    <phoneticPr fontId="3" type="noConversion"/>
  </si>
  <si>
    <t>L</t>
    <phoneticPr fontId="4"/>
  </si>
  <si>
    <t>SSD</t>
  </si>
  <si>
    <t>White</t>
  </si>
  <si>
    <t>O</t>
  </si>
  <si>
    <t>FOOTLESS ROMPER</t>
    <phoneticPr fontId="4"/>
  </si>
  <si>
    <t>SNORT SLEEVE BODY SUIT</t>
    <phoneticPr fontId="4"/>
  </si>
  <si>
    <t>T O T A L</t>
    <phoneticPr fontId="3" type="noConversion"/>
  </si>
  <si>
    <t>Sell-out</t>
    <phoneticPr fontId="4"/>
  </si>
  <si>
    <t>Stock</t>
    <phoneticPr fontId="3" type="noConversion"/>
  </si>
  <si>
    <t>Original</t>
  </si>
  <si>
    <t>NB</t>
  </si>
  <si>
    <t>Ori-G-NB</t>
  </si>
  <si>
    <t>Ori-G-S</t>
  </si>
  <si>
    <t>Ori-G-M</t>
  </si>
  <si>
    <t>DUSTY
BLUE</t>
  </si>
  <si>
    <t>Ori-DB-S</t>
  </si>
  <si>
    <t>Ori-DB-M</t>
  </si>
  <si>
    <t>Pink</t>
  </si>
  <si>
    <t>Ori-P-S</t>
  </si>
  <si>
    <t>Ori-P-M</t>
  </si>
  <si>
    <t>DUSTY
PINK</t>
  </si>
  <si>
    <t>Ori-DP-S</t>
  </si>
  <si>
    <t>Ori-DP-M</t>
  </si>
  <si>
    <t>White
(Dreamer)</t>
  </si>
  <si>
    <t>Ori-WD-S</t>
  </si>
  <si>
    <t>Ori-WD-M</t>
  </si>
  <si>
    <t>Oat</t>
  </si>
  <si>
    <t>Ori-OA-S</t>
  </si>
  <si>
    <t>Ori-OA-M</t>
  </si>
  <si>
    <t>White
(Rainbow)</t>
  </si>
  <si>
    <t>Ori-WR-S</t>
  </si>
  <si>
    <t>Ori-WR-M</t>
  </si>
  <si>
    <t>White
(Cloud Bunnie)</t>
  </si>
  <si>
    <t>Ori-WC-S</t>
  </si>
  <si>
    <t>Ori-WC-M</t>
  </si>
  <si>
    <t>Ori-PD-S</t>
  </si>
  <si>
    <t>Ori-PD-M</t>
  </si>
  <si>
    <t>Ori-BC-S</t>
  </si>
  <si>
    <t>Ori-BC-M</t>
  </si>
  <si>
    <t>Powder Pink
(Twinkle)</t>
  </si>
  <si>
    <t>Ori-PP-S</t>
  </si>
  <si>
    <t>Ori-PP-M</t>
  </si>
  <si>
    <t>Powder Blue
(Twinkle)</t>
  </si>
  <si>
    <t>Ori-PB-S</t>
  </si>
  <si>
    <t>Ori-PB-M</t>
  </si>
  <si>
    <t>Hounds Tooth
(Tan Check)</t>
  </si>
  <si>
    <t>Ori-H-S</t>
  </si>
  <si>
    <t>Ori-H-M</t>
  </si>
  <si>
    <t>Orga-C-S</t>
  </si>
  <si>
    <t>Orga-C-M</t>
  </si>
  <si>
    <t>Mint</t>
  </si>
  <si>
    <t>Orga-M-S</t>
  </si>
  <si>
    <t>Orga-M-M</t>
  </si>
  <si>
    <t>Bamboo Original</t>
  </si>
  <si>
    <t>Mist Blue
(Boat)</t>
  </si>
  <si>
    <t>BO-MB-S</t>
  </si>
  <si>
    <t>BO-MB-M</t>
  </si>
  <si>
    <t>Cream
(Lemon)</t>
  </si>
  <si>
    <t>BO-LC-S</t>
  </si>
  <si>
    <t>BO-LC-M</t>
  </si>
  <si>
    <t>Blush
(Cherries)</t>
  </si>
  <si>
    <t>BO-BC-S</t>
  </si>
  <si>
    <t>BO-BC-M</t>
  </si>
  <si>
    <t>Summer Lite</t>
  </si>
  <si>
    <t>OLIVE</t>
  </si>
  <si>
    <t>SL-O-S</t>
  </si>
  <si>
    <t>SL-O-M</t>
  </si>
  <si>
    <t>Grey(yrm)</t>
  </si>
  <si>
    <t>SL-GY-S</t>
  </si>
  <si>
    <t>SL-GY-M</t>
  </si>
  <si>
    <t>White(yrm)</t>
  </si>
  <si>
    <t>SL-WY-S</t>
  </si>
  <si>
    <t>SL-WY-M</t>
  </si>
  <si>
    <t>Blue</t>
  </si>
  <si>
    <t>SL-LB-S</t>
  </si>
  <si>
    <t>SL-LB-M</t>
  </si>
  <si>
    <t>SL-LP-S</t>
  </si>
  <si>
    <t>SL-LP-M</t>
  </si>
  <si>
    <t>Soft Blue</t>
  </si>
  <si>
    <t>SL-SB-S</t>
  </si>
  <si>
    <t>SL-SB-M</t>
  </si>
  <si>
    <t>Blush</t>
  </si>
  <si>
    <t>SL-BLS-S</t>
  </si>
  <si>
    <t>SL-BLS-M</t>
  </si>
  <si>
    <t>BL-O-S</t>
  </si>
  <si>
    <t>BL-O-M</t>
  </si>
  <si>
    <t>BL-P-S</t>
  </si>
  <si>
    <t>BL-P-M</t>
  </si>
  <si>
    <t>CREAM</t>
  </si>
  <si>
    <t>BL-C-S</t>
  </si>
  <si>
    <t>BL-C-M</t>
  </si>
  <si>
    <t>BL-XOXO-S</t>
  </si>
  <si>
    <t>BL-XOXO-M</t>
  </si>
  <si>
    <t>Mist Blue
(Sunny)</t>
  </si>
  <si>
    <t>BL-MB-S</t>
  </si>
  <si>
    <t>BL-MB-M</t>
  </si>
  <si>
    <t>Gold
(Sunny)</t>
  </si>
  <si>
    <t>BL-GD-S</t>
  </si>
  <si>
    <t>BL-GD-M</t>
  </si>
  <si>
    <t>Blush
(Heart)</t>
  </si>
  <si>
    <t>BL-BLS-S</t>
  </si>
  <si>
    <t>BL-BLS-M</t>
  </si>
  <si>
    <t>COTTON FLEECE</t>
  </si>
  <si>
    <t>CT-W</t>
  </si>
  <si>
    <t>CT-W-S</t>
  </si>
  <si>
    <t>CT-W-M</t>
  </si>
  <si>
    <t>CT-LO-S</t>
  </si>
  <si>
    <t>CT-LO-M</t>
  </si>
  <si>
    <t>Oat
(Twigs)</t>
  </si>
  <si>
    <t>CT-OAT-S</t>
  </si>
  <si>
    <t>CT-OAT-M</t>
  </si>
  <si>
    <t>Olive
(Twigs)</t>
  </si>
  <si>
    <t>CT-OLT-S</t>
  </si>
  <si>
    <t>CT-OLT-M</t>
  </si>
  <si>
    <t>T/B Original
（旧50/50）</t>
  </si>
  <si>
    <t>TB-O-G-M</t>
  </si>
  <si>
    <t>TB-O-G-L</t>
  </si>
  <si>
    <t>TB-O-OA-M</t>
  </si>
  <si>
    <t>TB-O-OA-L</t>
  </si>
  <si>
    <t>TB-O-PD-M</t>
  </si>
  <si>
    <t>TB-O-PD-L</t>
  </si>
  <si>
    <t>TB-O-BC-M</t>
  </si>
  <si>
    <t>TB-O-BC-L</t>
  </si>
  <si>
    <t>TB-O-PB-M</t>
  </si>
  <si>
    <t>TB-O-PB-L</t>
  </si>
  <si>
    <t>TB-O-PP-M</t>
  </si>
  <si>
    <t>TB-O-PP-L</t>
  </si>
  <si>
    <t>TB-O-H-M</t>
  </si>
  <si>
    <t>TB-O-H-L</t>
  </si>
  <si>
    <t>T/B Bamboo Original</t>
  </si>
  <si>
    <t>TB-BO-MB-M</t>
  </si>
  <si>
    <t>TB-BO-MB-L</t>
  </si>
  <si>
    <t>TB-BO-LC-M</t>
  </si>
  <si>
    <t>TB-BO-LC-L</t>
  </si>
  <si>
    <t>Blush
(Cherrie)</t>
  </si>
  <si>
    <t>TB-BO-BC-M</t>
  </si>
  <si>
    <t>TB-BO-BC-L</t>
  </si>
  <si>
    <t>T/B Lite</t>
  </si>
  <si>
    <t>TB-L-P-M</t>
  </si>
  <si>
    <t>TB-L-P-L</t>
  </si>
  <si>
    <t>TB-L-W-M</t>
  </si>
  <si>
    <t>TB-L-W-L</t>
  </si>
  <si>
    <t>GREY</t>
  </si>
  <si>
    <t>TB-L-GY-M</t>
  </si>
  <si>
    <t>TB-L-GY-L</t>
  </si>
  <si>
    <t>Olive</t>
  </si>
  <si>
    <t>TB-L-O-M</t>
  </si>
  <si>
    <t>TB-L-O-L</t>
  </si>
  <si>
    <t>White
(yrm)</t>
  </si>
  <si>
    <t>TB-L-WY-M</t>
  </si>
  <si>
    <t>TB-L-WY-L</t>
  </si>
  <si>
    <t>T/B Bamboo Lite</t>
  </si>
  <si>
    <t>Grey
XOXO</t>
  </si>
  <si>
    <t>TB-BL-XOXO-M</t>
  </si>
  <si>
    <t>TB-BL-XOXO-L</t>
  </si>
  <si>
    <t>TB-BL-C-M</t>
  </si>
  <si>
    <t>TB-BL-C-L</t>
  </si>
  <si>
    <t>TB-BL-MB-M</t>
  </si>
  <si>
    <t>TB-BL-MB-L</t>
  </si>
  <si>
    <t>TB-BL-GD-M</t>
  </si>
  <si>
    <t>TB-BL-GD-L</t>
  </si>
  <si>
    <t>TB-BL-BLS-M</t>
  </si>
  <si>
    <t>TB-BL-BLS-L</t>
  </si>
  <si>
    <t>T/B COTTON FLEECE</t>
  </si>
  <si>
    <t>TB-CT-OAT-M</t>
  </si>
  <si>
    <t>TB-CT-OAT-L</t>
  </si>
  <si>
    <t>TB-CT-OLT-M</t>
  </si>
  <si>
    <t>TB-CT-OLT-L</t>
  </si>
  <si>
    <t>TB-CT-W</t>
  </si>
  <si>
    <t>TB-CT-W-M</t>
  </si>
  <si>
    <t>TB-CT-W-L</t>
  </si>
  <si>
    <t>swaddle up warm</t>
  </si>
  <si>
    <t>WHITE</t>
  </si>
  <si>
    <t>WW-W-S</t>
  </si>
  <si>
    <t>WW-W-M</t>
  </si>
  <si>
    <t>TB warm</t>
  </si>
  <si>
    <t>TB-WW-W-M</t>
  </si>
  <si>
    <t>TB-WW-W-L</t>
  </si>
  <si>
    <t>SSB-D-0</t>
  </si>
  <si>
    <t>FOOTLESS ROMPER</t>
  </si>
  <si>
    <t>OO</t>
  </si>
  <si>
    <t>ROM-D-00</t>
  </si>
  <si>
    <t>SUIT LITE</t>
  </si>
  <si>
    <t>SUIT-G</t>
  </si>
  <si>
    <t>SUIT-B</t>
  </si>
  <si>
    <t>SUIT-P</t>
  </si>
  <si>
    <t>SUIT LITE Organic</t>
  </si>
  <si>
    <t>Breton Stripe</t>
  </si>
  <si>
    <t>One
size</t>
  </si>
  <si>
    <t>SUIT-LO-BS</t>
  </si>
  <si>
    <t>SUIT Original</t>
  </si>
  <si>
    <t>SUIT-O-PB</t>
  </si>
  <si>
    <t>SUIT-O-PP</t>
  </si>
  <si>
    <t>Hounds Tooth
(Tan check)</t>
  </si>
  <si>
    <t>SUIT-O-H</t>
  </si>
  <si>
    <t>SUIT Cotton Fleece</t>
  </si>
  <si>
    <t>SUIT-CT-OAT</t>
  </si>
  <si>
    <t>SUIT-CT-OLT</t>
  </si>
  <si>
    <t>Bag LITE ORGANIC</t>
  </si>
  <si>
    <t>BAG-LO-BS</t>
  </si>
  <si>
    <t>Bag ORIGINAL</t>
  </si>
  <si>
    <t>BAG-O-PB</t>
  </si>
  <si>
    <t>BAG-O-PP</t>
  </si>
  <si>
    <t>BAG-O-H</t>
  </si>
  <si>
    <t>Bag Cotton Fleece</t>
  </si>
  <si>
    <t>BAG-CT-OAT</t>
  </si>
  <si>
    <t>BAG-CT-OLT</t>
  </si>
  <si>
    <t>Sell out by Retailer</t>
    <phoneticPr fontId="3" type="noConversion"/>
  </si>
  <si>
    <t>Retailer</t>
    <phoneticPr fontId="3" type="noConversion"/>
  </si>
  <si>
    <t>MAR</t>
    <phoneticPr fontId="3" type="noConversion"/>
  </si>
  <si>
    <t>APL</t>
    <phoneticPr fontId="3" type="noConversion"/>
  </si>
  <si>
    <t>MAY</t>
    <phoneticPr fontId="3" type="noConversion"/>
  </si>
  <si>
    <t>JUN</t>
    <phoneticPr fontId="3" type="noConversion"/>
  </si>
  <si>
    <t>JUL</t>
    <phoneticPr fontId="3" type="noConversion"/>
  </si>
  <si>
    <t>AUG</t>
    <phoneticPr fontId="3" type="noConversion"/>
  </si>
  <si>
    <t>Sep</t>
  </si>
  <si>
    <t>Oct</t>
  </si>
  <si>
    <t>Nov</t>
  </si>
  <si>
    <t>Dec</t>
  </si>
  <si>
    <t>Jan</t>
  </si>
  <si>
    <t>Feb</t>
  </si>
  <si>
    <t>Lovetree</t>
    <phoneticPr fontId="3" type="noConversion"/>
  </si>
  <si>
    <t>Amazon</t>
    <phoneticPr fontId="3" type="noConversion"/>
  </si>
  <si>
    <t>Yahoo</t>
    <phoneticPr fontId="3" type="noConversion"/>
  </si>
  <si>
    <t>-</t>
  </si>
  <si>
    <t>Rakuten</t>
    <phoneticPr fontId="3" type="noConversion"/>
  </si>
  <si>
    <t>Greybear(Online)</t>
  </si>
  <si>
    <t>INUJIRUSHI(ISETAN)</t>
    <phoneticPr fontId="3" type="noConversion"/>
  </si>
  <si>
    <t>LITEC(SAN-A)</t>
    <phoneticPr fontId="3" type="noConversion"/>
  </si>
  <si>
    <t>AKACHANHONPO</t>
    <phoneticPr fontId="3" type="noConversion"/>
  </si>
  <si>
    <t>Ringbell</t>
    <phoneticPr fontId="4"/>
  </si>
  <si>
    <t>KODERA</t>
  </si>
  <si>
    <t>LUCACO</t>
  </si>
  <si>
    <t>Total</t>
    <phoneticPr fontId="3" type="noConversion"/>
  </si>
  <si>
    <t>QTY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</si>
</sst>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6"/>
      <name val="맑은 고딕"/>
      <family val="3"/>
      <charset val="128"/>
      <scheme val="minor"/>
    </font>
    <font>
      <sz val="6"/>
      <name val="맑은 고딕"/>
      <family val="2"/>
      <charset val="128"/>
      <scheme val="minor"/>
    </font>
    <font>
      <sz val="11"/>
      <color indexed="8"/>
      <name val="Helvetica Neue"/>
      <family val="2"/>
    </font>
    <font>
      <sz val="12"/>
      <color theme="1"/>
      <name val="맑은 고딕"/>
      <family val="2"/>
      <scheme val="minor"/>
    </font>
    <font>
      <b/>
      <sz val="11"/>
      <color theme="1"/>
      <name val="맑은 고딕"/>
      <family val="2"/>
      <scheme val="major"/>
    </font>
    <font>
      <sz val="11"/>
      <color rgb="FF000000"/>
      <name val="맑은 고딕"/>
      <family val="2"/>
      <scheme val="major"/>
    </font>
    <font>
      <sz val="11"/>
      <color theme="1"/>
      <name val="맑은 고딕"/>
      <family val="2"/>
      <scheme val="major"/>
    </font>
    <font>
      <sz val="11"/>
      <name val="맑은 고딕"/>
      <family val="2"/>
      <scheme val="major"/>
    </font>
    <font>
      <sz val="11"/>
      <color rgb="FF9C0006"/>
      <name val="맑은 고딕"/>
      <family val="2"/>
      <scheme val="major"/>
    </font>
    <font>
      <sz val="10"/>
      <color theme="1"/>
      <name val="맑은 고딕"/>
      <family val="2"/>
      <scheme val="major"/>
    </font>
    <font>
      <sz val="12"/>
      <color theme="1"/>
      <name val="맑은 고딕"/>
      <family val="2"/>
      <scheme val="major"/>
    </font>
    <font>
      <strike/>
      <sz val="11"/>
      <color theme="1"/>
      <name val="맑은 고딕"/>
      <family val="2"/>
      <scheme val="major"/>
    </font>
    <font>
      <sz val="8"/>
      <color theme="1"/>
      <name val="맑은 고딕"/>
      <family val="2"/>
      <scheme val="major"/>
    </font>
    <font>
      <sz val="8"/>
      <name val="맑은 고딕"/>
      <family val="2"/>
      <scheme val="major"/>
    </font>
    <font>
      <sz val="8"/>
      <color rgb="FF000000"/>
      <name val="맑은 고딕"/>
      <family val="2"/>
      <scheme val="major"/>
    </font>
    <font>
      <sz val="9"/>
      <color theme="1"/>
      <name val="맑은 고딕"/>
      <family val="2"/>
      <scheme val="maj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11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000000"/>
      <name val="Consolas, Monaco, Menlo, Courie"/>
    </font>
    <font>
      <sz val="11"/>
      <color theme="1"/>
      <name val="Meiryo UI"/>
      <family val="3"/>
      <charset val="128"/>
    </font>
  </fonts>
  <fills count="6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58A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3D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B2D0"/>
        <bgColor indexed="64"/>
      </patternFill>
    </fill>
    <fill>
      <patternFill patternType="solid">
        <fgColor rgb="FFB0E0E6"/>
        <bgColor indexed="64"/>
      </patternFill>
    </fill>
    <fill>
      <patternFill patternType="solid">
        <fgColor rgb="FFFFFFD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5C7EB"/>
        <bgColor indexed="64"/>
      </patternFill>
    </fill>
    <fill>
      <patternFill patternType="solid">
        <fgColor rgb="FFFDFBD4"/>
        <bgColor indexed="64"/>
      </patternFill>
    </fill>
    <fill>
      <patternFill patternType="solid">
        <fgColor rgb="FFDE5D8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1DFF6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889BA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58A9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3D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6F98B"/>
        <bgColor rgb="FF000000"/>
      </patternFill>
    </fill>
    <fill>
      <patternFill patternType="solid">
        <fgColor rgb="FFFCFDD7"/>
        <bgColor rgb="FF000000"/>
      </patternFill>
    </fill>
    <fill>
      <patternFill patternType="solid">
        <fgColor rgb="FFFFB2D0"/>
        <bgColor rgb="FF000000"/>
      </patternFill>
    </fill>
    <fill>
      <patternFill patternType="solid">
        <fgColor rgb="FFB0E0E6"/>
        <bgColor rgb="FF000000"/>
      </patternFill>
    </fill>
    <fill>
      <patternFill patternType="solid">
        <fgColor rgb="FFFFFFD3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5C7EB"/>
        <bgColor rgb="FF000000"/>
      </patternFill>
    </fill>
    <fill>
      <patternFill patternType="solid">
        <fgColor rgb="FFFDFBD4"/>
        <bgColor rgb="FF000000"/>
      </patternFill>
    </fill>
    <fill>
      <patternFill patternType="solid">
        <fgColor rgb="FFDE5D83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D1DFF6"/>
        <bgColor rgb="FF000000"/>
      </patternFill>
    </fill>
    <fill>
      <patternFill patternType="solid">
        <fgColor rgb="FFFFD7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E2EFDA"/>
        <bgColor rgb="FF000000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" fillId="0" borderId="0" applyNumberFormat="0" applyFill="0" applyBorder="0" applyProtection="0">
      <alignment vertical="top"/>
    </xf>
    <xf numFmtId="0" fontId="7" fillId="0" borderId="0"/>
    <xf numFmtId="0" fontId="20" fillId="0" borderId="0">
      <alignment vertical="center"/>
    </xf>
  </cellStyleXfs>
  <cellXfs count="581">
    <xf numFmtId="0" fontId="0" fillId="0" borderId="0" xfId="0">
      <alignment vertical="center"/>
    </xf>
    <xf numFmtId="0" fontId="10" fillId="4" borderId="22" xfId="0" applyFont="1" applyFill="1" applyBorder="1" applyAlignment="1">
      <alignment horizontal="center" vertical="center"/>
    </xf>
    <xf numFmtId="0" fontId="10" fillId="5" borderId="22" xfId="3" applyFont="1" applyFill="1" applyBorder="1" applyAlignment="1" applyProtection="1">
      <alignment horizontal="center" vertical="center" wrapText="1"/>
    </xf>
    <xf numFmtId="0" fontId="10" fillId="4" borderId="22" xfId="3" applyFont="1" applyFill="1" applyBorder="1" applyAlignment="1" applyProtection="1">
      <alignment horizontal="center" vertical="center" wrapText="1"/>
    </xf>
    <xf numFmtId="3" fontId="10" fillId="4" borderId="22" xfId="3" applyNumberFormat="1" applyFont="1" applyFill="1" applyBorder="1" applyAlignment="1" applyProtection="1">
      <alignment horizontal="center" vertical="center" wrapText="1"/>
    </xf>
    <xf numFmtId="0" fontId="11" fillId="4" borderId="22" xfId="4" applyFont="1" applyFill="1" applyBorder="1" applyAlignment="1">
      <alignment horizontal="center" vertical="center"/>
    </xf>
    <xf numFmtId="0" fontId="11" fillId="4" borderId="22" xfId="5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right" vertical="center" wrapText="1"/>
    </xf>
    <xf numFmtId="0" fontId="10" fillId="0" borderId="2" xfId="0" applyFont="1" applyBorder="1" applyAlignment="1">
      <alignment vertical="center" wrapText="1"/>
    </xf>
    <xf numFmtId="0" fontId="10" fillId="10" borderId="2" xfId="0" applyFont="1" applyFill="1" applyBorder="1" applyAlignment="1">
      <alignment vertical="center" wrapText="1"/>
    </xf>
    <xf numFmtId="0" fontId="10" fillId="0" borderId="11" xfId="0" applyFont="1" applyBorder="1">
      <alignment vertical="center"/>
    </xf>
    <xf numFmtId="0" fontId="10" fillId="10" borderId="11" xfId="0" applyFont="1" applyFill="1" applyBorder="1">
      <alignment vertical="center"/>
    </xf>
    <xf numFmtId="0" fontId="10" fillId="0" borderId="6" xfId="0" applyFont="1" applyBorder="1">
      <alignment vertical="center"/>
    </xf>
    <xf numFmtId="0" fontId="10" fillId="10" borderId="6" xfId="0" applyFont="1" applyFill="1" applyBorder="1">
      <alignment vertical="center"/>
    </xf>
    <xf numFmtId="0" fontId="10" fillId="0" borderId="2" xfId="0" applyFont="1" applyBorder="1">
      <alignment vertical="center"/>
    </xf>
    <xf numFmtId="0" fontId="10" fillId="10" borderId="2" xfId="0" applyFont="1" applyFill="1" applyBorder="1">
      <alignment vertical="center"/>
    </xf>
    <xf numFmtId="0" fontId="10" fillId="0" borderId="4" xfId="0" applyFont="1" applyBorder="1">
      <alignment vertical="center"/>
    </xf>
    <xf numFmtId="0" fontId="10" fillId="10" borderId="4" xfId="0" applyFont="1" applyFill="1" applyBorder="1">
      <alignment vertical="center"/>
    </xf>
    <xf numFmtId="0" fontId="10" fillId="0" borderId="9" xfId="0" applyFont="1" applyBorder="1">
      <alignment vertical="center"/>
    </xf>
    <xf numFmtId="0" fontId="10" fillId="10" borderId="9" xfId="0" applyFont="1" applyFill="1" applyBorder="1">
      <alignment vertical="center"/>
    </xf>
    <xf numFmtId="0" fontId="10" fillId="0" borderId="13" xfId="0" applyFont="1" applyBorder="1">
      <alignment vertical="center"/>
    </xf>
    <xf numFmtId="0" fontId="10" fillId="10" borderId="13" xfId="0" applyFont="1" applyFill="1" applyBorder="1">
      <alignment vertical="center"/>
    </xf>
    <xf numFmtId="0" fontId="10" fillId="0" borderId="2" xfId="3" applyFont="1" applyFill="1" applyBorder="1" applyAlignment="1" applyProtection="1">
      <alignment vertical="center" wrapText="1"/>
    </xf>
    <xf numFmtId="0" fontId="10" fillId="10" borderId="2" xfId="3" applyFont="1" applyFill="1" applyBorder="1" applyAlignment="1" applyProtection="1">
      <alignment vertical="center" wrapText="1"/>
    </xf>
    <xf numFmtId="0" fontId="10" fillId="0" borderId="6" xfId="3" applyFont="1" applyFill="1" applyBorder="1" applyAlignment="1" applyProtection="1">
      <alignment vertical="center" wrapText="1"/>
    </xf>
    <xf numFmtId="0" fontId="10" fillId="10" borderId="6" xfId="3" applyFont="1" applyFill="1" applyBorder="1" applyAlignment="1" applyProtection="1">
      <alignment vertical="center" wrapText="1"/>
    </xf>
    <xf numFmtId="0" fontId="10" fillId="0" borderId="7" xfId="0" applyFont="1" applyBorder="1">
      <alignment vertical="center"/>
    </xf>
    <xf numFmtId="0" fontId="10" fillId="10" borderId="7" xfId="0" applyFont="1" applyFill="1" applyBorder="1">
      <alignment vertical="center"/>
    </xf>
    <xf numFmtId="0" fontId="10" fillId="0" borderId="21" xfId="3" applyFont="1" applyFill="1" applyBorder="1" applyAlignment="1" applyProtection="1">
      <alignment vertical="center" wrapText="1"/>
    </xf>
    <xf numFmtId="0" fontId="10" fillId="10" borderId="21" xfId="3" applyFont="1" applyFill="1" applyBorder="1" applyAlignment="1" applyProtection="1">
      <alignment vertical="center" wrapText="1"/>
    </xf>
    <xf numFmtId="0" fontId="10" fillId="0" borderId="10" xfId="3" applyFont="1" applyFill="1" applyBorder="1" applyAlignment="1" applyProtection="1">
      <alignment vertical="center" wrapText="1"/>
    </xf>
    <xf numFmtId="0" fontId="10" fillId="10" borderId="10" xfId="3" applyFont="1" applyFill="1" applyBorder="1" applyAlignment="1" applyProtection="1">
      <alignment vertical="center" wrapText="1"/>
    </xf>
    <xf numFmtId="0" fontId="10" fillId="0" borderId="18" xfId="3" applyFont="1" applyFill="1" applyBorder="1" applyAlignment="1" applyProtection="1">
      <alignment horizontal="right" vertical="center" wrapText="1"/>
    </xf>
    <xf numFmtId="0" fontId="10" fillId="0" borderId="9" xfId="3" applyFont="1" applyFill="1" applyBorder="1" applyAlignment="1" applyProtection="1">
      <alignment vertical="center" wrapText="1"/>
    </xf>
    <xf numFmtId="0" fontId="10" fillId="10" borderId="9" xfId="3" applyFont="1" applyFill="1" applyBorder="1" applyAlignment="1" applyProtection="1">
      <alignment vertical="center" wrapText="1"/>
    </xf>
    <xf numFmtId="0" fontId="10" fillId="0" borderId="5" xfId="3" applyFont="1" applyFill="1" applyBorder="1" applyAlignment="1" applyProtection="1">
      <alignment horizontal="right" vertical="center" wrapText="1"/>
    </xf>
    <xf numFmtId="0" fontId="10" fillId="0" borderId="10" xfId="0" applyFont="1" applyBorder="1">
      <alignment vertical="center"/>
    </xf>
    <xf numFmtId="0" fontId="10" fillId="10" borderId="10" xfId="0" applyFont="1" applyFill="1" applyBorder="1">
      <alignment vertical="center"/>
    </xf>
    <xf numFmtId="0" fontId="10" fillId="0" borderId="4" xfId="3" applyFont="1" applyFill="1" applyBorder="1" applyAlignment="1" applyProtection="1">
      <alignment vertical="center" wrapText="1"/>
    </xf>
    <xf numFmtId="0" fontId="10" fillId="10" borderId="4" xfId="3" applyFont="1" applyFill="1" applyBorder="1" applyAlignment="1" applyProtection="1">
      <alignment vertical="center" wrapText="1"/>
    </xf>
    <xf numFmtId="0" fontId="10" fillId="0" borderId="13" xfId="0" applyFont="1" applyBorder="1" applyAlignment="1">
      <alignment vertical="center" wrapText="1"/>
    </xf>
    <xf numFmtId="0" fontId="10" fillId="10" borderId="13" xfId="0" applyFont="1" applyFill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10" borderId="10" xfId="0" applyFont="1" applyFill="1" applyBorder="1" applyAlignment="1">
      <alignment vertical="center" wrapText="1"/>
    </xf>
    <xf numFmtId="0" fontId="8" fillId="0" borderId="0" xfId="0" applyFont="1">
      <alignment vertical="center"/>
    </xf>
    <xf numFmtId="17" fontId="10" fillId="0" borderId="0" xfId="0" applyNumberFormat="1" applyFont="1" applyAlignment="1">
      <alignment horizontal="center" vertical="center"/>
    </xf>
    <xf numFmtId="17" fontId="10" fillId="4" borderId="2" xfId="0" applyNumberFormat="1" applyFont="1" applyFill="1" applyBorder="1" applyAlignment="1">
      <alignment horizontal="center" vertical="center"/>
    </xf>
    <xf numFmtId="17" fontId="10" fillId="4" borderId="6" xfId="0" applyNumberFormat="1" applyFont="1" applyFill="1" applyBorder="1" applyAlignment="1">
      <alignment horizontal="center" vertical="center"/>
    </xf>
    <xf numFmtId="0" fontId="10" fillId="6" borderId="2" xfId="3" applyFont="1" applyFill="1" applyBorder="1" applyAlignment="1" applyProtection="1">
      <alignment horizontal="center" vertical="center" wrapText="1"/>
    </xf>
    <xf numFmtId="0" fontId="10" fillId="6" borderId="7" xfId="3" applyFont="1" applyFill="1" applyBorder="1" applyAlignment="1" applyProtection="1">
      <alignment horizontal="center" vertical="center" wrapText="1"/>
    </xf>
    <xf numFmtId="0" fontId="10" fillId="6" borderId="11" xfId="3" applyFont="1" applyFill="1" applyBorder="1" applyAlignment="1" applyProtection="1">
      <alignment horizontal="center" vertical="center" wrapText="1"/>
    </xf>
    <xf numFmtId="0" fontId="10" fillId="6" borderId="6" xfId="3" applyFont="1" applyFill="1" applyBorder="1" applyAlignment="1" applyProtection="1">
      <alignment horizontal="center" vertical="center" wrapText="1"/>
    </xf>
    <xf numFmtId="0" fontId="10" fillId="17" borderId="9" xfId="3" applyFont="1" applyFill="1" applyBorder="1" applyAlignment="1" applyProtection="1">
      <alignment horizontal="center" vertical="center" wrapText="1"/>
    </xf>
    <xf numFmtId="0" fontId="10" fillId="17" borderId="7" xfId="3" applyFont="1" applyFill="1" applyBorder="1" applyAlignment="1" applyProtection="1">
      <alignment horizontal="center" vertical="center" wrapText="1"/>
    </xf>
    <xf numFmtId="0" fontId="10" fillId="17" borderId="6" xfId="3" applyFont="1" applyFill="1" applyBorder="1" applyAlignment="1" applyProtection="1">
      <alignment horizontal="center" vertical="center" wrapText="1"/>
    </xf>
    <xf numFmtId="0" fontId="10" fillId="33" borderId="7" xfId="3" applyFont="1" applyFill="1" applyBorder="1" applyAlignment="1" applyProtection="1">
      <alignment horizontal="center" vertical="center" wrapText="1"/>
    </xf>
    <xf numFmtId="0" fontId="10" fillId="33" borderId="6" xfId="3" applyFont="1" applyFill="1" applyBorder="1" applyAlignment="1" applyProtection="1">
      <alignment horizontal="center" vertical="center" wrapText="1"/>
    </xf>
    <xf numFmtId="0" fontId="10" fillId="33" borderId="2" xfId="3" applyFont="1" applyFill="1" applyBorder="1" applyAlignment="1" applyProtection="1">
      <alignment horizontal="center" vertical="center" wrapText="1"/>
    </xf>
    <xf numFmtId="0" fontId="10" fillId="33" borderId="11" xfId="3" applyFont="1" applyFill="1" applyBorder="1" applyAlignment="1" applyProtection="1">
      <alignment horizontal="center" vertical="center" wrapText="1"/>
    </xf>
    <xf numFmtId="0" fontId="10" fillId="33" borderId="2" xfId="0" applyFont="1" applyFill="1" applyBorder="1" applyAlignment="1">
      <alignment horizontal="center" vertical="center"/>
    </xf>
    <xf numFmtId="0" fontId="10" fillId="8" borderId="7" xfId="3" applyFont="1" applyFill="1" applyBorder="1" applyAlignment="1" applyProtection="1">
      <alignment horizontal="center" vertical="center" wrapText="1"/>
    </xf>
    <xf numFmtId="0" fontId="10" fillId="8" borderId="21" xfId="3" applyFont="1" applyFill="1" applyBorder="1" applyAlignment="1" applyProtection="1">
      <alignment horizontal="center" vertical="center" wrapText="1"/>
    </xf>
    <xf numFmtId="0" fontId="10" fillId="9" borderId="2" xfId="3" applyFont="1" applyFill="1" applyBorder="1" applyAlignment="1" applyProtection="1">
      <alignment horizontal="center" vertical="center" wrapText="1"/>
    </xf>
    <xf numFmtId="0" fontId="10" fillId="9" borderId="6" xfId="3" applyFont="1" applyFill="1" applyBorder="1" applyAlignment="1" applyProtection="1">
      <alignment horizontal="center" vertical="center" wrapText="1"/>
    </xf>
    <xf numFmtId="0" fontId="10" fillId="10" borderId="2" xfId="3" applyFont="1" applyFill="1" applyBorder="1" applyAlignment="1" applyProtection="1">
      <alignment horizontal="center" vertical="center" wrapText="1"/>
    </xf>
    <xf numFmtId="0" fontId="10" fillId="10" borderId="6" xfId="3" applyFont="1" applyFill="1" applyBorder="1" applyAlignment="1" applyProtection="1">
      <alignment horizontal="center" vertical="center" wrapText="1"/>
    </xf>
    <xf numFmtId="0" fontId="10" fillId="11" borderId="2" xfId="3" applyFont="1" applyFill="1" applyBorder="1" applyAlignment="1" applyProtection="1">
      <alignment horizontal="center" vertical="center" wrapText="1"/>
    </xf>
    <xf numFmtId="0" fontId="10" fillId="11" borderId="6" xfId="3" applyFont="1" applyFill="1" applyBorder="1" applyAlignment="1" applyProtection="1">
      <alignment horizontal="center" vertical="center" wrapText="1"/>
    </xf>
    <xf numFmtId="0" fontId="10" fillId="12" borderId="2" xfId="3" applyFont="1" applyFill="1" applyBorder="1" applyAlignment="1" applyProtection="1">
      <alignment horizontal="center" vertical="center" wrapText="1"/>
    </xf>
    <xf numFmtId="0" fontId="10" fillId="12" borderId="6" xfId="3" applyFont="1" applyFill="1" applyBorder="1" applyAlignment="1" applyProtection="1">
      <alignment horizontal="center" vertical="center" wrapText="1"/>
    </xf>
    <xf numFmtId="0" fontId="10" fillId="0" borderId="2" xfId="3" applyFont="1" applyFill="1" applyBorder="1" applyAlignment="1" applyProtection="1">
      <alignment horizontal="center" vertical="center" wrapText="1"/>
    </xf>
    <xf numFmtId="0" fontId="10" fillId="0" borderId="6" xfId="3" applyFont="1" applyFill="1" applyBorder="1" applyAlignment="1" applyProtection="1">
      <alignment horizontal="center" vertical="center" wrapText="1"/>
    </xf>
    <xf numFmtId="0" fontId="10" fillId="13" borderId="2" xfId="3" applyFont="1" applyFill="1" applyBorder="1" applyAlignment="1" applyProtection="1">
      <alignment horizontal="center" vertical="center" wrapText="1"/>
    </xf>
    <xf numFmtId="0" fontId="10" fillId="13" borderId="6" xfId="3" applyFont="1" applyFill="1" applyBorder="1" applyAlignment="1" applyProtection="1">
      <alignment horizontal="center" vertical="center" wrapText="1"/>
    </xf>
    <xf numFmtId="0" fontId="10" fillId="14" borderId="2" xfId="3" applyFont="1" applyFill="1" applyBorder="1" applyAlignment="1" applyProtection="1">
      <alignment horizontal="center" vertical="center" wrapText="1"/>
    </xf>
    <xf numFmtId="0" fontId="10" fillId="14" borderId="6" xfId="3" applyFont="1" applyFill="1" applyBorder="1" applyAlignment="1" applyProtection="1">
      <alignment horizontal="center" vertical="center" wrapText="1"/>
    </xf>
    <xf numFmtId="0" fontId="10" fillId="15" borderId="14" xfId="3" applyFont="1" applyFill="1" applyBorder="1" applyAlignment="1" applyProtection="1">
      <alignment horizontal="center" vertical="center" wrapText="1"/>
    </xf>
    <xf numFmtId="0" fontId="10" fillId="15" borderId="13" xfId="3" applyFont="1" applyFill="1" applyBorder="1" applyAlignment="1" applyProtection="1">
      <alignment horizontal="center" vertical="center" wrapText="1"/>
    </xf>
    <xf numFmtId="0" fontId="10" fillId="16" borderId="2" xfId="3" applyFont="1" applyFill="1" applyBorder="1" applyAlignment="1" applyProtection="1">
      <alignment horizontal="center" vertical="center" wrapText="1"/>
    </xf>
    <xf numFmtId="0" fontId="10" fillId="16" borderId="11" xfId="3" applyFont="1" applyFill="1" applyBorder="1" applyAlignment="1" applyProtection="1">
      <alignment horizontal="center" vertical="center" wrapText="1"/>
    </xf>
    <xf numFmtId="0" fontId="10" fillId="16" borderId="6" xfId="3" applyFont="1" applyFill="1" applyBorder="1" applyAlignment="1" applyProtection="1">
      <alignment horizontal="center" vertical="center" wrapText="1"/>
    </xf>
    <xf numFmtId="0" fontId="10" fillId="7" borderId="2" xfId="3" applyFont="1" applyFill="1" applyBorder="1" applyAlignment="1" applyProtection="1">
      <alignment horizontal="center" vertical="center" wrapText="1"/>
    </xf>
    <xf numFmtId="0" fontId="10" fillId="7" borderId="6" xfId="3" applyFont="1" applyFill="1" applyBorder="1" applyAlignment="1" applyProtection="1">
      <alignment horizontal="center" vertical="center" wrapText="1"/>
    </xf>
    <xf numFmtId="0" fontId="10" fillId="32" borderId="11" xfId="3" applyFont="1" applyFill="1" applyBorder="1" applyAlignment="1" applyProtection="1">
      <alignment horizontal="center" vertical="center" wrapText="1"/>
    </xf>
    <xf numFmtId="0" fontId="10" fillId="32" borderId="6" xfId="3" applyFont="1" applyFill="1" applyBorder="1" applyAlignment="1" applyProtection="1">
      <alignment horizontal="center" vertical="center" wrapText="1"/>
    </xf>
    <xf numFmtId="0" fontId="10" fillId="18" borderId="2" xfId="3" applyFont="1" applyFill="1" applyBorder="1" applyAlignment="1" applyProtection="1">
      <alignment horizontal="center" vertical="center" wrapText="1"/>
    </xf>
    <xf numFmtId="0" fontId="10" fillId="18" borderId="6" xfId="3" applyFont="1" applyFill="1" applyBorder="1" applyAlignment="1" applyProtection="1">
      <alignment horizontal="center" vertical="center" wrapText="1"/>
    </xf>
    <xf numFmtId="0" fontId="10" fillId="19" borderId="2" xfId="3" applyFont="1" applyFill="1" applyBorder="1" applyAlignment="1" applyProtection="1">
      <alignment horizontal="center" vertical="center" wrapText="1"/>
    </xf>
    <xf numFmtId="0" fontId="10" fillId="19" borderId="6" xfId="3" applyFont="1" applyFill="1" applyBorder="1" applyAlignment="1" applyProtection="1">
      <alignment horizontal="center" vertical="center" wrapText="1"/>
    </xf>
    <xf numFmtId="0" fontId="10" fillId="20" borderId="2" xfId="3" applyFont="1" applyFill="1" applyBorder="1" applyAlignment="1" applyProtection="1">
      <alignment horizontal="center" vertical="center" wrapText="1"/>
    </xf>
    <xf numFmtId="0" fontId="10" fillId="20" borderId="6" xfId="3" applyFont="1" applyFill="1" applyBorder="1" applyAlignment="1" applyProtection="1">
      <alignment horizontal="center" vertical="center" wrapText="1"/>
    </xf>
    <xf numFmtId="0" fontId="10" fillId="22" borderId="2" xfId="3" applyFont="1" applyFill="1" applyBorder="1" applyAlignment="1" applyProtection="1">
      <alignment horizontal="center" vertical="center" wrapText="1"/>
    </xf>
    <xf numFmtId="0" fontId="10" fillId="22" borderId="6" xfId="3" applyFont="1" applyFill="1" applyBorder="1" applyAlignment="1" applyProtection="1">
      <alignment horizontal="center" vertical="center" wrapText="1"/>
    </xf>
    <xf numFmtId="0" fontId="10" fillId="0" borderId="10" xfId="3" applyFont="1" applyFill="1" applyBorder="1" applyAlignment="1" applyProtection="1">
      <alignment horizontal="center" vertical="center" wrapText="1"/>
    </xf>
    <xf numFmtId="0" fontId="10" fillId="17" borderId="11" xfId="3" applyFont="1" applyFill="1" applyBorder="1" applyAlignment="1" applyProtection="1">
      <alignment horizontal="center" vertical="center" wrapText="1"/>
    </xf>
    <xf numFmtId="0" fontId="10" fillId="8" borderId="2" xfId="3" applyFont="1" applyFill="1" applyBorder="1" applyAlignment="1" applyProtection="1">
      <alignment horizontal="center" vertical="center" wrapText="1"/>
    </xf>
    <xf numFmtId="0" fontId="10" fillId="8" borderId="6" xfId="3" applyFont="1" applyFill="1" applyBorder="1" applyAlignment="1" applyProtection="1">
      <alignment horizontal="center" vertical="center" wrapText="1"/>
    </xf>
    <xf numFmtId="0" fontId="10" fillId="23" borderId="2" xfId="3" applyFont="1" applyFill="1" applyBorder="1" applyAlignment="1" applyProtection="1">
      <alignment horizontal="center" vertical="center" wrapText="1"/>
    </xf>
    <xf numFmtId="0" fontId="10" fillId="23" borderId="21" xfId="3" applyFont="1" applyFill="1" applyBorder="1" applyAlignment="1" applyProtection="1">
      <alignment horizontal="center" vertical="center" wrapText="1"/>
    </xf>
    <xf numFmtId="0" fontId="15" fillId="33" borderId="2" xfId="3" applyFont="1" applyFill="1" applyBorder="1" applyAlignment="1" applyProtection="1">
      <alignment horizontal="center" vertical="center" wrapText="1"/>
    </xf>
    <xf numFmtId="0" fontId="15" fillId="33" borderId="6" xfId="3" applyFont="1" applyFill="1" applyBorder="1" applyAlignment="1" applyProtection="1">
      <alignment horizontal="center" vertical="center" wrapText="1"/>
    </xf>
    <xf numFmtId="0" fontId="15" fillId="33" borderId="11" xfId="3" applyFont="1" applyFill="1" applyBorder="1" applyAlignment="1" applyProtection="1">
      <alignment horizontal="center" vertical="center" wrapText="1"/>
    </xf>
    <xf numFmtId="0" fontId="10" fillId="32" borderId="2" xfId="3" applyFont="1" applyFill="1" applyBorder="1" applyAlignment="1" applyProtection="1">
      <alignment horizontal="center" vertical="center" wrapText="1"/>
    </xf>
    <xf numFmtId="0" fontId="10" fillId="0" borderId="11" xfId="3" applyFont="1" applyFill="1" applyBorder="1" applyAlignment="1" applyProtection="1">
      <alignment horizontal="center" vertical="center" wrapText="1"/>
    </xf>
    <xf numFmtId="0" fontId="10" fillId="24" borderId="2" xfId="3" applyFont="1" applyFill="1" applyBorder="1" applyAlignment="1" applyProtection="1">
      <alignment horizontal="center" vertical="center" wrapText="1"/>
    </xf>
    <xf numFmtId="0" fontId="10" fillId="24" borderId="6" xfId="3" applyFont="1" applyFill="1" applyBorder="1" applyAlignment="1" applyProtection="1">
      <alignment horizontal="center" vertical="center" wrapText="1"/>
    </xf>
    <xf numFmtId="0" fontId="10" fillId="27" borderId="2" xfId="3" applyFont="1" applyFill="1" applyBorder="1" applyAlignment="1" applyProtection="1">
      <alignment horizontal="center" vertical="center" wrapText="1"/>
    </xf>
    <xf numFmtId="0" fontId="10" fillId="27" borderId="6" xfId="3" applyFont="1" applyFill="1" applyBorder="1" applyAlignment="1" applyProtection="1">
      <alignment horizontal="center" vertical="center" wrapText="1"/>
    </xf>
    <xf numFmtId="0" fontId="10" fillId="33" borderId="13" xfId="3" applyFont="1" applyFill="1" applyBorder="1" applyAlignment="1" applyProtection="1">
      <alignment horizontal="center" vertical="center" wrapText="1"/>
    </xf>
    <xf numFmtId="0" fontId="10" fillId="8" borderId="11" xfId="3" applyFont="1" applyFill="1" applyBorder="1" applyAlignment="1" applyProtection="1">
      <alignment horizontal="center" vertical="center" wrapText="1"/>
    </xf>
    <xf numFmtId="0" fontId="10" fillId="6" borderId="21" xfId="3" applyFont="1" applyFill="1" applyBorder="1" applyAlignment="1" applyProtection="1">
      <alignment horizontal="center" vertical="center" wrapText="1"/>
    </xf>
    <xf numFmtId="0" fontId="10" fillId="0" borderId="9" xfId="3" applyFont="1" applyFill="1" applyBorder="1" applyAlignment="1" applyProtection="1">
      <alignment horizontal="center" vertical="center" wrapText="1"/>
    </xf>
    <xf numFmtId="0" fontId="10" fillId="11" borderId="9" xfId="3" applyFont="1" applyFill="1" applyBorder="1" applyAlignment="1" applyProtection="1">
      <alignment horizontal="center" vertical="center" wrapText="1"/>
    </xf>
    <xf numFmtId="0" fontId="10" fillId="25" borderId="9" xfId="3" applyFont="1" applyFill="1" applyBorder="1" applyAlignment="1" applyProtection="1">
      <alignment horizontal="center" vertical="center" wrapText="1"/>
    </xf>
    <xf numFmtId="0" fontId="16" fillId="25" borderId="10" xfId="4" applyFont="1" applyFill="1" applyBorder="1" applyAlignment="1">
      <alignment horizontal="center" vertical="center" wrapText="1"/>
    </xf>
    <xf numFmtId="0" fontId="10" fillId="25" borderId="21" xfId="3" applyFont="1" applyFill="1" applyBorder="1" applyAlignment="1" applyProtection="1">
      <alignment horizontal="center" vertical="center" wrapText="1"/>
    </xf>
    <xf numFmtId="0" fontId="10" fillId="18" borderId="9" xfId="3" applyFont="1" applyFill="1" applyBorder="1" applyAlignment="1" applyProtection="1">
      <alignment horizontal="center" vertical="center" wrapText="1"/>
    </xf>
    <xf numFmtId="0" fontId="10" fillId="24" borderId="9" xfId="3" applyFont="1" applyFill="1" applyBorder="1" applyAlignment="1" applyProtection="1">
      <alignment horizontal="center" vertical="center" wrapText="1"/>
    </xf>
    <xf numFmtId="0" fontId="10" fillId="20" borderId="9" xfId="3" applyFont="1" applyFill="1" applyBorder="1" applyAlignment="1" applyProtection="1">
      <alignment horizontal="center" vertical="center" wrapText="1"/>
    </xf>
    <xf numFmtId="0" fontId="10" fillId="8" borderId="13" xfId="3" applyFont="1" applyFill="1" applyBorder="1" applyAlignment="1" applyProtection="1">
      <alignment horizontal="center" vertical="center" wrapText="1"/>
    </xf>
    <xf numFmtId="0" fontId="10" fillId="19" borderId="8" xfId="0" applyFont="1" applyFill="1" applyBorder="1" applyAlignment="1">
      <alignment horizontal="center" vertical="center" wrapText="1"/>
    </xf>
    <xf numFmtId="0" fontId="16" fillId="19" borderId="13" xfId="0" applyFont="1" applyFill="1" applyBorder="1" applyAlignment="1">
      <alignment horizontal="center" vertical="center"/>
    </xf>
    <xf numFmtId="0" fontId="10" fillId="19" borderId="13" xfId="0" applyFont="1" applyFill="1" applyBorder="1" applyAlignment="1">
      <alignment horizontal="center" vertical="center" wrapText="1"/>
    </xf>
    <xf numFmtId="0" fontId="18" fillId="14" borderId="13" xfId="5" applyFont="1" applyFill="1" applyBorder="1" applyAlignment="1">
      <alignment horizontal="center" vertical="center" wrapText="1"/>
    </xf>
    <xf numFmtId="0" fontId="10" fillId="14" borderId="13" xfId="0" applyFont="1" applyFill="1" applyBorder="1" applyAlignment="1">
      <alignment horizontal="center" vertical="center" wrapText="1"/>
    </xf>
    <xf numFmtId="0" fontId="18" fillId="13" borderId="13" xfId="5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  <xf numFmtId="0" fontId="18" fillId="0" borderId="13" xfId="5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6" fillId="11" borderId="13" xfId="4" applyFont="1" applyFill="1" applyBorder="1" applyAlignment="1">
      <alignment horizontal="center" vertical="center" wrapText="1"/>
    </xf>
    <xf numFmtId="0" fontId="10" fillId="11" borderId="13" xfId="0" applyFont="1" applyFill="1" applyBorder="1" applyAlignment="1">
      <alignment horizontal="center" vertical="center" wrapText="1"/>
    </xf>
    <xf numFmtId="0" fontId="16" fillId="25" borderId="7" xfId="4" applyFont="1" applyFill="1" applyBorder="1" applyAlignment="1">
      <alignment horizontal="center" vertical="center" wrapText="1"/>
    </xf>
    <xf numFmtId="0" fontId="10" fillId="25" borderId="13" xfId="0" applyFont="1" applyFill="1" applyBorder="1" applyAlignment="1">
      <alignment horizontal="center" vertical="center" wrapText="1"/>
    </xf>
    <xf numFmtId="0" fontId="10" fillId="30" borderId="12" xfId="0" applyFont="1" applyFill="1" applyBorder="1" applyAlignment="1">
      <alignment horizontal="center" vertical="center" wrapText="1"/>
    </xf>
    <xf numFmtId="0" fontId="16" fillId="14" borderId="13" xfId="0" applyFont="1" applyFill="1" applyBorder="1" applyAlignment="1">
      <alignment horizontal="center" vertical="center" wrapText="1"/>
    </xf>
    <xf numFmtId="0" fontId="16" fillId="13" borderId="13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0" fillId="25" borderId="10" xfId="0" applyFont="1" applyFill="1" applyBorder="1" applyAlignment="1">
      <alignment horizontal="center" vertical="center" wrapText="1"/>
    </xf>
    <xf numFmtId="0" fontId="16" fillId="29" borderId="8" xfId="3" applyFont="1" applyFill="1" applyBorder="1" applyAlignment="1" applyProtection="1">
      <alignment horizontal="center" vertical="center" wrapText="1"/>
    </xf>
    <xf numFmtId="0" fontId="19" fillId="29" borderId="12" xfId="3" applyFont="1" applyFill="1" applyBorder="1" applyAlignment="1" applyProtection="1">
      <alignment horizontal="center" vertical="center" wrapText="1"/>
    </xf>
    <xf numFmtId="0" fontId="10" fillId="0" borderId="13" xfId="3" applyFont="1" applyFill="1" applyBorder="1" applyAlignment="1" applyProtection="1">
      <alignment horizontal="center" vertical="center" wrapText="1"/>
    </xf>
    <xf numFmtId="0" fontId="19" fillId="29" borderId="3" xfId="3" applyFont="1" applyFill="1" applyBorder="1" applyAlignment="1" applyProtection="1">
      <alignment horizontal="center" vertical="center" wrapText="1"/>
    </xf>
    <xf numFmtId="0" fontId="8" fillId="31" borderId="20" xfId="0" applyFont="1" applyFill="1" applyBorder="1" applyAlignment="1">
      <alignment horizontal="center" vertical="center"/>
    </xf>
    <xf numFmtId="0" fontId="10" fillId="0" borderId="20" xfId="0" applyFont="1" applyBorder="1">
      <alignment vertical="center"/>
    </xf>
    <xf numFmtId="41" fontId="10" fillId="0" borderId="20" xfId="1" applyFont="1" applyFill="1" applyBorder="1">
      <alignment vertical="center"/>
    </xf>
    <xf numFmtId="41" fontId="8" fillId="0" borderId="20" xfId="1" applyFont="1" applyFill="1" applyBorder="1">
      <alignment vertical="center"/>
    </xf>
    <xf numFmtId="41" fontId="10" fillId="0" borderId="17" xfId="1" applyFont="1" applyFill="1" applyBorder="1">
      <alignment vertical="center"/>
    </xf>
    <xf numFmtId="41" fontId="8" fillId="0" borderId="17" xfId="1" applyFont="1" applyFill="1" applyBorder="1">
      <alignment vertical="center"/>
    </xf>
    <xf numFmtId="0" fontId="8" fillId="4" borderId="20" xfId="0" applyFont="1" applyFill="1" applyBorder="1">
      <alignment vertical="center"/>
    </xf>
    <xf numFmtId="41" fontId="8" fillId="4" borderId="20" xfId="1" applyFont="1" applyFill="1" applyBorder="1">
      <alignment vertical="center"/>
    </xf>
    <xf numFmtId="17" fontId="8" fillId="31" borderId="20" xfId="0" applyNumberFormat="1" applyFont="1" applyFill="1" applyBorder="1" applyAlignment="1">
      <alignment horizontal="center" vertical="center"/>
    </xf>
    <xf numFmtId="17" fontId="10" fillId="0" borderId="20" xfId="0" applyNumberFormat="1" applyFont="1" applyBorder="1" applyAlignment="1">
      <alignment horizontal="center" vertical="center"/>
    </xf>
    <xf numFmtId="41" fontId="8" fillId="5" borderId="20" xfId="1" applyFont="1" applyFill="1" applyBorder="1" applyAlignment="1">
      <alignment horizontal="center" vertical="center"/>
    </xf>
    <xf numFmtId="41" fontId="8" fillId="5" borderId="17" xfId="1" applyFont="1" applyFill="1" applyBorder="1" applyAlignment="1">
      <alignment horizontal="center" vertical="center"/>
    </xf>
    <xf numFmtId="3" fontId="11" fillId="4" borderId="22" xfId="4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22" fillId="35" borderId="24" xfId="0" applyFont="1" applyFill="1" applyBorder="1" applyAlignment="1">
      <alignment vertical="center" wrapText="1"/>
    </xf>
    <xf numFmtId="0" fontId="22" fillId="35" borderId="25" xfId="0" applyFont="1" applyFill="1" applyBorder="1" applyAlignment="1">
      <alignment vertical="center" wrapText="1"/>
    </xf>
    <xf numFmtId="0" fontId="22" fillId="35" borderId="15" xfId="0" applyFont="1" applyFill="1" applyBorder="1" applyAlignment="1">
      <alignment vertical="center" wrapText="1"/>
    </xf>
    <xf numFmtId="0" fontId="22" fillId="36" borderId="0" xfId="0" applyFont="1" applyFill="1" applyAlignment="1">
      <alignment vertical="center" wrapText="1"/>
    </xf>
    <xf numFmtId="0" fontId="22" fillId="36" borderId="26" xfId="0" applyFont="1" applyFill="1" applyBorder="1" applyAlignment="1">
      <alignment vertical="center" wrapText="1"/>
    </xf>
    <xf numFmtId="0" fontId="22" fillId="37" borderId="0" xfId="0" applyFont="1" applyFill="1" applyAlignment="1">
      <alignment vertical="center" wrapText="1"/>
    </xf>
    <xf numFmtId="0" fontId="22" fillId="37" borderId="29" xfId="0" applyFont="1" applyFill="1" applyBorder="1" applyAlignment="1">
      <alignment vertical="center" wrapText="1"/>
    </xf>
    <xf numFmtId="0" fontId="22" fillId="38" borderId="24" xfId="0" applyFont="1" applyFill="1" applyBorder="1" applyAlignment="1">
      <alignment vertical="center" wrapText="1"/>
    </xf>
    <xf numFmtId="0" fontId="22" fillId="38" borderId="0" xfId="0" applyFont="1" applyFill="1" applyAlignment="1">
      <alignment vertical="center" wrapText="1"/>
    </xf>
    <xf numFmtId="0" fontId="22" fillId="39" borderId="16" xfId="0" applyFont="1" applyFill="1" applyBorder="1" applyAlignment="1">
      <alignment vertical="center" wrapText="1"/>
    </xf>
    <xf numFmtId="0" fontId="22" fillId="40" borderId="16" xfId="0" applyFont="1" applyFill="1" applyBorder="1" applyAlignment="1">
      <alignment vertical="center" wrapText="1"/>
    </xf>
    <xf numFmtId="0" fontId="22" fillId="0" borderId="16" xfId="0" applyFont="1" applyBorder="1" applyAlignment="1">
      <alignment vertical="center" wrapText="1"/>
    </xf>
    <xf numFmtId="0" fontId="22" fillId="42" borderId="30" xfId="0" applyFont="1" applyFill="1" applyBorder="1" applyAlignment="1">
      <alignment vertical="center" wrapText="1"/>
    </xf>
    <xf numFmtId="0" fontId="22" fillId="42" borderId="0" xfId="0" applyFont="1" applyFill="1" applyAlignment="1">
      <alignment vertical="center" wrapText="1"/>
    </xf>
    <xf numFmtId="0" fontId="22" fillId="43" borderId="0" xfId="0" applyFont="1" applyFill="1" applyAlignment="1">
      <alignment vertical="center" wrapText="1"/>
    </xf>
    <xf numFmtId="0" fontId="22" fillId="44" borderId="24" xfId="0" applyFont="1" applyFill="1" applyBorder="1" applyAlignment="1">
      <alignment vertical="center" wrapText="1"/>
    </xf>
    <xf numFmtId="0" fontId="22" fillId="44" borderId="0" xfId="0" applyFont="1" applyFill="1" applyAlignment="1">
      <alignment vertical="center" wrapText="1"/>
    </xf>
    <xf numFmtId="0" fontId="22" fillId="45" borderId="16" xfId="0" applyFont="1" applyFill="1" applyBorder="1" applyAlignment="1">
      <alignment vertical="center" wrapText="1"/>
    </xf>
    <xf numFmtId="0" fontId="22" fillId="47" borderId="25" xfId="0" applyFont="1" applyFill="1" applyBorder="1" applyAlignment="1">
      <alignment vertical="center" wrapText="1"/>
    </xf>
    <xf numFmtId="0" fontId="22" fillId="47" borderId="15" xfId="0" applyFont="1" applyFill="1" applyBorder="1" applyAlignment="1">
      <alignment vertical="center" wrapText="1"/>
    </xf>
    <xf numFmtId="0" fontId="22" fillId="48" borderId="25" xfId="0" applyFont="1" applyFill="1" applyBorder="1" applyAlignment="1">
      <alignment vertical="center" wrapText="1"/>
    </xf>
    <xf numFmtId="0" fontId="22" fillId="48" borderId="15" xfId="0" applyFont="1" applyFill="1" applyBorder="1" applyAlignment="1">
      <alignment vertical="center" wrapText="1"/>
    </xf>
    <xf numFmtId="0" fontId="22" fillId="54" borderId="25" xfId="0" applyFont="1" applyFill="1" applyBorder="1" applyAlignment="1">
      <alignment vertical="center" wrapText="1"/>
    </xf>
    <xf numFmtId="0" fontId="22" fillId="54" borderId="15" xfId="0" applyFont="1" applyFill="1" applyBorder="1" applyAlignment="1">
      <alignment vertical="center" wrapText="1"/>
    </xf>
    <xf numFmtId="0" fontId="22" fillId="34" borderId="25" xfId="0" applyFont="1" applyFill="1" applyBorder="1" applyAlignment="1">
      <alignment vertical="center" wrapText="1"/>
    </xf>
    <xf numFmtId="0" fontId="22" fillId="34" borderId="15" xfId="0" applyFont="1" applyFill="1" applyBorder="1" applyAlignment="1">
      <alignment vertical="center" wrapText="1"/>
    </xf>
    <xf numFmtId="0" fontId="22" fillId="39" borderId="30" xfId="0" applyFont="1" applyFill="1" applyBorder="1" applyAlignment="1">
      <alignment vertical="center" wrapText="1"/>
    </xf>
    <xf numFmtId="0" fontId="22" fillId="49" borderId="25" xfId="0" applyFont="1" applyFill="1" applyBorder="1" applyAlignment="1">
      <alignment vertical="center" wrapText="1"/>
    </xf>
    <xf numFmtId="0" fontId="22" fillId="49" borderId="15" xfId="0" applyFont="1" applyFill="1" applyBorder="1" applyAlignment="1">
      <alignment vertical="center" wrapText="1"/>
    </xf>
    <xf numFmtId="0" fontId="22" fillId="37" borderId="25" xfId="0" applyFont="1" applyFill="1" applyBorder="1" applyAlignment="1">
      <alignment vertical="center" wrapText="1"/>
    </xf>
    <xf numFmtId="0" fontId="22" fillId="37" borderId="15" xfId="0" applyFont="1" applyFill="1" applyBorder="1" applyAlignment="1">
      <alignment vertical="center" wrapText="1"/>
    </xf>
    <xf numFmtId="0" fontId="23" fillId="55" borderId="0" xfId="0" applyFont="1" applyFill="1">
      <alignment vertical="center"/>
    </xf>
    <xf numFmtId="0" fontId="23" fillId="40" borderId="0" xfId="0" applyFont="1" applyFill="1">
      <alignment vertical="center"/>
    </xf>
    <xf numFmtId="0" fontId="22" fillId="0" borderId="24" xfId="0" applyFont="1" applyBorder="1" applyAlignment="1">
      <alignment vertical="center" wrapText="1"/>
    </xf>
    <xf numFmtId="0" fontId="22" fillId="0" borderId="15" xfId="0" applyFont="1" applyBorder="1" applyAlignment="1">
      <alignment vertical="center" wrapText="1"/>
    </xf>
    <xf numFmtId="0" fontId="22" fillId="58" borderId="25" xfId="0" applyFont="1" applyFill="1" applyBorder="1">
      <alignment vertical="center"/>
    </xf>
    <xf numFmtId="0" fontId="22" fillId="58" borderId="15" xfId="0" applyFont="1" applyFill="1" applyBorder="1" applyAlignment="1">
      <alignment vertical="center" wrapText="1"/>
    </xf>
    <xf numFmtId="0" fontId="22" fillId="0" borderId="25" xfId="0" applyFont="1" applyBorder="1" applyAlignment="1">
      <alignment vertical="center" wrapText="1"/>
    </xf>
    <xf numFmtId="0" fontId="23" fillId="45" borderId="25" xfId="0" applyFont="1" applyFill="1" applyBorder="1">
      <alignment vertical="center"/>
    </xf>
    <xf numFmtId="0" fontId="23" fillId="44" borderId="25" xfId="0" applyFont="1" applyFill="1" applyBorder="1">
      <alignment vertical="center"/>
    </xf>
    <xf numFmtId="0" fontId="23" fillId="40" borderId="25" xfId="0" applyFont="1" applyFill="1" applyBorder="1">
      <alignment vertical="center"/>
    </xf>
    <xf numFmtId="0" fontId="23" fillId="48" borderId="25" xfId="0" applyFont="1" applyFill="1" applyBorder="1">
      <alignment vertical="center"/>
    </xf>
    <xf numFmtId="41" fontId="24" fillId="2" borderId="22" xfId="1" applyFont="1" applyFill="1" applyBorder="1" applyAlignment="1" applyProtection="1">
      <alignment horizontal="center" vertical="center"/>
    </xf>
    <xf numFmtId="0" fontId="22" fillId="35" borderId="2" xfId="0" applyFont="1" applyFill="1" applyBorder="1" applyAlignment="1">
      <alignment vertical="center" wrapText="1"/>
    </xf>
    <xf numFmtId="0" fontId="22" fillId="35" borderId="11" xfId="0" applyFont="1" applyFill="1" applyBorder="1" applyAlignment="1">
      <alignment vertical="center" wrapText="1"/>
    </xf>
    <xf numFmtId="0" fontId="22" fillId="35" borderId="10" xfId="0" applyFont="1" applyFill="1" applyBorder="1" applyAlignment="1">
      <alignment vertical="center" wrapText="1"/>
    </xf>
    <xf numFmtId="0" fontId="22" fillId="36" borderId="7" xfId="0" applyFont="1" applyFill="1" applyBorder="1" applyAlignment="1">
      <alignment vertical="center" wrapText="1"/>
    </xf>
    <xf numFmtId="0" fontId="22" fillId="36" borderId="6" xfId="0" applyFont="1" applyFill="1" applyBorder="1" applyAlignment="1">
      <alignment vertical="center" wrapText="1"/>
    </xf>
    <xf numFmtId="0" fontId="22" fillId="37" borderId="7" xfId="0" applyFont="1" applyFill="1" applyBorder="1" applyAlignment="1">
      <alignment vertical="center" wrapText="1"/>
    </xf>
    <xf numFmtId="0" fontId="22" fillId="37" borderId="19" xfId="0" applyFont="1" applyFill="1" applyBorder="1" applyAlignment="1">
      <alignment vertical="center" wrapText="1"/>
    </xf>
    <xf numFmtId="0" fontId="22" fillId="37" borderId="28" xfId="0" applyFont="1" applyFill="1" applyBorder="1" applyAlignment="1">
      <alignment vertical="center" wrapText="1"/>
    </xf>
    <xf numFmtId="0" fontId="22" fillId="38" borderId="2" xfId="0" applyFont="1" applyFill="1" applyBorder="1" applyAlignment="1">
      <alignment vertical="center" wrapText="1"/>
    </xf>
    <xf numFmtId="0" fontId="22" fillId="38" borderId="10" xfId="0" applyFont="1" applyFill="1" applyBorder="1" applyAlignment="1">
      <alignment vertical="center" wrapText="1"/>
    </xf>
    <xf numFmtId="0" fontId="22" fillId="39" borderId="11" xfId="0" applyFont="1" applyFill="1" applyBorder="1" applyAlignment="1">
      <alignment vertical="center" wrapText="1"/>
    </xf>
    <xf numFmtId="0" fontId="22" fillId="39" borderId="10" xfId="0" applyFont="1" applyFill="1" applyBorder="1" applyAlignment="1">
      <alignment vertical="center" wrapText="1"/>
    </xf>
    <xf numFmtId="0" fontId="22" fillId="40" borderId="11" xfId="0" applyFont="1" applyFill="1" applyBorder="1" applyAlignment="1">
      <alignment vertical="center" wrapText="1"/>
    </xf>
    <xf numFmtId="0" fontId="22" fillId="40" borderId="10" xfId="0" applyFont="1" applyFill="1" applyBorder="1" applyAlignment="1">
      <alignment vertical="center" wrapText="1"/>
    </xf>
    <xf numFmtId="0" fontId="22" fillId="41" borderId="11" xfId="0" applyFont="1" applyFill="1" applyBorder="1" applyAlignment="1">
      <alignment vertical="center" wrapText="1"/>
    </xf>
    <xf numFmtId="0" fontId="22" fillId="41" borderId="10" xfId="0" applyFont="1" applyFill="1" applyBorder="1" applyAlignment="1">
      <alignment vertical="center" wrapText="1"/>
    </xf>
    <xf numFmtId="0" fontId="22" fillId="0" borderId="11" xfId="0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0" fontId="22" fillId="42" borderId="16" xfId="0" applyFont="1" applyFill="1" applyBorder="1" applyAlignment="1">
      <alignment vertical="center" wrapText="1"/>
    </xf>
    <xf numFmtId="0" fontId="22" fillId="43" borderId="30" xfId="0" applyFont="1" applyFill="1" applyBorder="1" applyAlignment="1">
      <alignment vertical="center" wrapText="1"/>
    </xf>
    <xf numFmtId="0" fontId="22" fillId="43" borderId="16" xfId="0" applyFont="1" applyFill="1" applyBorder="1" applyAlignment="1">
      <alignment vertical="center" wrapText="1"/>
    </xf>
    <xf numFmtId="0" fontId="22" fillId="44" borderId="11" xfId="0" applyFont="1" applyFill="1" applyBorder="1" applyAlignment="1">
      <alignment vertical="center" wrapText="1"/>
    </xf>
    <xf numFmtId="0" fontId="22" fillId="44" borderId="10" xfId="0" applyFont="1" applyFill="1" applyBorder="1" applyAlignment="1">
      <alignment vertical="center" wrapText="1"/>
    </xf>
    <xf numFmtId="0" fontId="22" fillId="45" borderId="11" xfId="0" applyFont="1" applyFill="1" applyBorder="1" applyAlignment="1">
      <alignment vertical="center" wrapText="1"/>
    </xf>
    <xf numFmtId="0" fontId="22" fillId="45" borderId="10" xfId="0" applyFont="1" applyFill="1" applyBorder="1" applyAlignment="1">
      <alignment vertical="center" wrapText="1"/>
    </xf>
    <xf numFmtId="0" fontId="22" fillId="46" borderId="11" xfId="0" applyFont="1" applyFill="1" applyBorder="1" applyAlignment="1">
      <alignment vertical="center" wrapText="1"/>
    </xf>
    <xf numFmtId="0" fontId="22" fillId="46" borderId="10" xfId="0" applyFont="1" applyFill="1" applyBorder="1" applyAlignment="1">
      <alignment vertical="center" wrapText="1"/>
    </xf>
    <xf numFmtId="0" fontId="22" fillId="47" borderId="11" xfId="0" applyFont="1" applyFill="1" applyBorder="1" applyAlignment="1">
      <alignment vertical="center" wrapText="1"/>
    </xf>
    <xf numFmtId="0" fontId="22" fillId="47" borderId="10" xfId="0" applyFont="1" applyFill="1" applyBorder="1" applyAlignment="1">
      <alignment vertical="center" wrapText="1"/>
    </xf>
    <xf numFmtId="0" fontId="22" fillId="48" borderId="11" xfId="0" applyFont="1" applyFill="1" applyBorder="1" applyAlignment="1">
      <alignment vertical="center" wrapText="1"/>
    </xf>
    <xf numFmtId="0" fontId="22" fillId="48" borderId="10" xfId="0" applyFont="1" applyFill="1" applyBorder="1" applyAlignment="1">
      <alignment vertical="center" wrapText="1"/>
    </xf>
    <xf numFmtId="0" fontId="22" fillId="50" borderId="11" xfId="0" applyFont="1" applyFill="1" applyBorder="1" applyAlignment="1">
      <alignment vertical="center" wrapText="1"/>
    </xf>
    <xf numFmtId="0" fontId="22" fillId="50" borderId="10" xfId="0" applyFont="1" applyFill="1" applyBorder="1" applyAlignment="1">
      <alignment vertical="center" wrapText="1"/>
    </xf>
    <xf numFmtId="0" fontId="22" fillId="51" borderId="11" xfId="0" applyFont="1" applyFill="1" applyBorder="1" applyAlignment="1">
      <alignment vertical="center" wrapText="1"/>
    </xf>
    <xf numFmtId="0" fontId="22" fillId="51" borderId="10" xfId="0" applyFont="1" applyFill="1" applyBorder="1" applyAlignment="1">
      <alignment vertical="center" wrapText="1"/>
    </xf>
    <xf numFmtId="0" fontId="22" fillId="52" borderId="11" xfId="0" applyFont="1" applyFill="1" applyBorder="1" applyAlignment="1">
      <alignment vertical="center" wrapText="1"/>
    </xf>
    <xf numFmtId="0" fontId="22" fillId="52" borderId="10" xfId="0" applyFont="1" applyFill="1" applyBorder="1" applyAlignment="1">
      <alignment vertical="center" wrapText="1"/>
    </xf>
    <xf numFmtId="0" fontId="22" fillId="54" borderId="11" xfId="0" applyFont="1" applyFill="1" applyBorder="1" applyAlignment="1">
      <alignment vertical="center" wrapText="1"/>
    </xf>
    <xf numFmtId="0" fontId="22" fillId="54" borderId="10" xfId="0" applyFont="1" applyFill="1" applyBorder="1" applyAlignment="1">
      <alignment vertical="center" wrapText="1"/>
    </xf>
    <xf numFmtId="0" fontId="22" fillId="34" borderId="11" xfId="0" applyFont="1" applyFill="1" applyBorder="1" applyAlignment="1">
      <alignment vertical="center" wrapText="1"/>
    </xf>
    <xf numFmtId="0" fontId="22" fillId="34" borderId="10" xfId="0" applyFont="1" applyFill="1" applyBorder="1" applyAlignment="1">
      <alignment vertical="center" wrapText="1"/>
    </xf>
    <xf numFmtId="0" fontId="22" fillId="49" borderId="11" xfId="0" applyFont="1" applyFill="1" applyBorder="1" applyAlignment="1">
      <alignment vertical="center" wrapText="1"/>
    </xf>
    <xf numFmtId="0" fontId="22" fillId="49" borderId="10" xfId="0" applyFont="1" applyFill="1" applyBorder="1" applyAlignment="1">
      <alignment vertical="center" wrapText="1"/>
    </xf>
    <xf numFmtId="0" fontId="22" fillId="37" borderId="11" xfId="0" applyFont="1" applyFill="1" applyBorder="1" applyAlignment="1">
      <alignment vertical="center" wrapText="1"/>
    </xf>
    <xf numFmtId="0" fontId="22" fillId="37" borderId="10" xfId="0" applyFont="1" applyFill="1" applyBorder="1" applyAlignment="1">
      <alignment vertical="center" wrapText="1"/>
    </xf>
    <xf numFmtId="0" fontId="22" fillId="55" borderId="11" xfId="0" applyFont="1" applyFill="1" applyBorder="1" applyAlignment="1">
      <alignment vertical="center" wrapText="1"/>
    </xf>
    <xf numFmtId="0" fontId="22" fillId="55" borderId="7" xfId="0" applyFont="1" applyFill="1" applyBorder="1" applyAlignment="1">
      <alignment vertical="center" wrapText="1"/>
    </xf>
    <xf numFmtId="0" fontId="22" fillId="52" borderId="2" xfId="0" applyFont="1" applyFill="1" applyBorder="1" applyAlignment="1">
      <alignment vertical="center" wrapText="1"/>
    </xf>
    <xf numFmtId="0" fontId="22" fillId="56" borderId="11" xfId="0" applyFont="1" applyFill="1" applyBorder="1" applyAlignment="1">
      <alignment vertical="center" wrapText="1"/>
    </xf>
    <xf numFmtId="0" fontId="22" fillId="56" borderId="10" xfId="0" applyFont="1" applyFill="1" applyBorder="1" applyAlignment="1">
      <alignment vertical="center" wrapText="1"/>
    </xf>
    <xf numFmtId="0" fontId="22" fillId="48" borderId="30" xfId="0" applyFont="1" applyFill="1" applyBorder="1" applyAlignment="1">
      <alignment vertical="center" wrapText="1"/>
    </xf>
    <xf numFmtId="0" fontId="22" fillId="48" borderId="19" xfId="0" applyFont="1" applyFill="1" applyBorder="1" applyAlignment="1">
      <alignment vertical="center" wrapText="1"/>
    </xf>
    <xf numFmtId="0" fontId="22" fillId="34" borderId="2" xfId="0" applyFont="1" applyFill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0" fontId="22" fillId="58" borderId="11" xfId="0" applyFont="1" applyFill="1" applyBorder="1">
      <alignment vertical="center"/>
    </xf>
    <xf numFmtId="0" fontId="22" fillId="58" borderId="10" xfId="0" applyFont="1" applyFill="1" applyBorder="1" applyAlignment="1">
      <alignment vertical="center" wrapText="1"/>
    </xf>
    <xf numFmtId="0" fontId="22" fillId="50" borderId="7" xfId="0" applyFont="1" applyFill="1" applyBorder="1" applyAlignment="1">
      <alignment vertical="center" wrapText="1"/>
    </xf>
    <xf numFmtId="0" fontId="22" fillId="50" borderId="6" xfId="0" applyFont="1" applyFill="1" applyBorder="1" applyAlignment="1">
      <alignment vertical="center" wrapText="1"/>
    </xf>
    <xf numFmtId="0" fontId="22" fillId="56" borderId="7" xfId="0" applyFont="1" applyFill="1" applyBorder="1" applyAlignment="1">
      <alignment vertical="center" wrapText="1"/>
    </xf>
    <xf numFmtId="0" fontId="22" fillId="56" borderId="6" xfId="0" applyFont="1" applyFill="1" applyBorder="1" applyAlignment="1">
      <alignment vertical="center" wrapText="1"/>
    </xf>
    <xf numFmtId="0" fontId="22" fillId="52" borderId="7" xfId="0" applyFont="1" applyFill="1" applyBorder="1" applyAlignment="1">
      <alignment vertical="center" wrapText="1"/>
    </xf>
    <xf numFmtId="0" fontId="22" fillId="52" borderId="6" xfId="0" applyFont="1" applyFill="1" applyBorder="1" applyAlignment="1">
      <alignment vertical="center" wrapText="1"/>
    </xf>
    <xf numFmtId="0" fontId="22" fillId="40" borderId="7" xfId="0" applyFont="1" applyFill="1" applyBorder="1" applyAlignment="1">
      <alignment vertical="center" wrapText="1"/>
    </xf>
    <xf numFmtId="0" fontId="22" fillId="40" borderId="6" xfId="0" applyFont="1" applyFill="1" applyBorder="1" applyAlignment="1">
      <alignment vertical="center" wrapText="1"/>
    </xf>
    <xf numFmtId="0" fontId="22" fillId="48" borderId="7" xfId="0" applyFont="1" applyFill="1" applyBorder="1" applyAlignment="1">
      <alignment vertical="center" wrapText="1"/>
    </xf>
    <xf numFmtId="0" fontId="22" fillId="48" borderId="21" xfId="0" applyFont="1" applyFill="1" applyBorder="1" applyAlignment="1">
      <alignment vertical="center" wrapText="1"/>
    </xf>
    <xf numFmtId="0" fontId="22" fillId="60" borderId="10" xfId="0" applyFont="1" applyFill="1" applyBorder="1">
      <alignment vertical="center"/>
    </xf>
    <xf numFmtId="0" fontId="22" fillId="61" borderId="8" xfId="0" applyFont="1" applyFill="1" applyBorder="1" applyAlignment="1">
      <alignment vertical="center" wrapText="1"/>
    </xf>
    <xf numFmtId="0" fontId="22" fillId="0" borderId="8" xfId="0" applyFont="1" applyBorder="1" applyAlignment="1">
      <alignment vertical="center" wrapText="1"/>
    </xf>
    <xf numFmtId="0" fontId="22" fillId="34" borderId="18" xfId="0" applyFont="1" applyFill="1" applyBorder="1" applyAlignment="1">
      <alignment vertical="center" wrapText="1"/>
    </xf>
    <xf numFmtId="0" fontId="22" fillId="49" borderId="18" xfId="0" applyFont="1" applyFill="1" applyBorder="1" applyAlignment="1">
      <alignment vertical="center" wrapText="1"/>
    </xf>
    <xf numFmtId="0" fontId="22" fillId="51" borderId="8" xfId="0" applyFont="1" applyFill="1" applyBorder="1" applyAlignment="1">
      <alignment vertical="center" wrapText="1"/>
    </xf>
    <xf numFmtId="0" fontId="22" fillId="37" borderId="8" xfId="0" applyFont="1" applyFill="1" applyBorder="1" applyAlignment="1">
      <alignment vertical="center" wrapText="1"/>
    </xf>
    <xf numFmtId="0" fontId="22" fillId="51" borderId="10" xfId="0" applyFont="1" applyFill="1" applyBorder="1">
      <alignment vertical="center"/>
    </xf>
    <xf numFmtId="0" fontId="22" fillId="51" borderId="16" xfId="0" applyFont="1" applyFill="1" applyBorder="1" applyAlignment="1">
      <alignment vertical="center" wrapText="1"/>
    </xf>
    <xf numFmtId="0" fontId="22" fillId="44" borderId="16" xfId="0" applyFont="1" applyFill="1" applyBorder="1" applyAlignment="1">
      <alignment vertical="center" wrapText="1"/>
    </xf>
    <xf numFmtId="0" fontId="22" fillId="48" borderId="34" xfId="0" applyFont="1" applyFill="1" applyBorder="1" applyAlignment="1">
      <alignment vertical="center" wrapText="1"/>
    </xf>
    <xf numFmtId="0" fontId="22" fillId="62" borderId="8" xfId="0" applyFont="1" applyFill="1" applyBorder="1">
      <alignment vertical="center"/>
    </xf>
    <xf numFmtId="0" fontId="22" fillId="51" borderId="12" xfId="0" applyFont="1" applyFill="1" applyBorder="1">
      <alignment vertical="center"/>
    </xf>
    <xf numFmtId="0" fontId="22" fillId="45" borderId="8" xfId="0" applyFont="1" applyFill="1" applyBorder="1" applyAlignment="1">
      <alignment vertical="center" wrapText="1"/>
    </xf>
    <xf numFmtId="0" fontId="22" fillId="44" borderId="8" xfId="0" applyFont="1" applyFill="1" applyBorder="1" applyAlignment="1">
      <alignment vertical="center" wrapText="1"/>
    </xf>
    <xf numFmtId="0" fontId="22" fillId="40" borderId="36" xfId="0" applyFont="1" applyFill="1" applyBorder="1" applyAlignment="1">
      <alignment vertical="center" wrapText="1"/>
    </xf>
    <xf numFmtId="0" fontId="22" fillId="48" borderId="36" xfId="0" applyFont="1" applyFill="1" applyBorder="1" applyAlignment="1">
      <alignment vertical="center" wrapText="1"/>
    </xf>
    <xf numFmtId="0" fontId="22" fillId="39" borderId="24" xfId="0" applyFont="1" applyFill="1" applyBorder="1" applyAlignment="1">
      <alignment vertical="center" wrapText="1"/>
    </xf>
    <xf numFmtId="0" fontId="22" fillId="39" borderId="15" xfId="0" applyFont="1" applyFill="1" applyBorder="1" applyAlignment="1">
      <alignment vertical="center" wrapText="1"/>
    </xf>
    <xf numFmtId="0" fontId="22" fillId="40" borderId="25" xfId="0" applyFont="1" applyFill="1" applyBorder="1" applyAlignment="1">
      <alignment vertical="center" wrapText="1"/>
    </xf>
    <xf numFmtId="0" fontId="22" fillId="40" borderId="15" xfId="0" applyFont="1" applyFill="1" applyBorder="1" applyAlignment="1">
      <alignment vertical="center" wrapText="1"/>
    </xf>
    <xf numFmtId="0" fontId="22" fillId="41" borderId="25" xfId="0" applyFont="1" applyFill="1" applyBorder="1" applyAlignment="1">
      <alignment vertical="center" wrapText="1"/>
    </xf>
    <xf numFmtId="0" fontId="22" fillId="41" borderId="15" xfId="0" applyFont="1" applyFill="1" applyBorder="1" applyAlignment="1">
      <alignment vertical="center" wrapText="1"/>
    </xf>
    <xf numFmtId="0" fontId="22" fillId="42" borderId="25" xfId="0" applyFont="1" applyFill="1" applyBorder="1" applyAlignment="1">
      <alignment vertical="center" wrapText="1"/>
    </xf>
    <xf numFmtId="0" fontId="22" fillId="43" borderId="39" xfId="0" applyFont="1" applyFill="1" applyBorder="1" applyAlignment="1">
      <alignment vertical="center" wrapText="1"/>
    </xf>
    <xf numFmtId="0" fontId="22" fillId="45" borderId="24" xfId="0" applyFont="1" applyFill="1" applyBorder="1" applyAlignment="1">
      <alignment vertical="center" wrapText="1"/>
    </xf>
    <xf numFmtId="0" fontId="22" fillId="45" borderId="15" xfId="0" applyFont="1" applyFill="1" applyBorder="1" applyAlignment="1">
      <alignment vertical="center" wrapText="1"/>
    </xf>
    <xf numFmtId="0" fontId="22" fillId="46" borderId="25" xfId="0" applyFont="1" applyFill="1" applyBorder="1" applyAlignment="1">
      <alignment vertical="center" wrapText="1"/>
    </xf>
    <xf numFmtId="0" fontId="22" fillId="46" borderId="15" xfId="0" applyFont="1" applyFill="1" applyBorder="1" applyAlignment="1">
      <alignment vertical="center" wrapText="1"/>
    </xf>
    <xf numFmtId="0" fontId="23" fillId="50" borderId="0" xfId="0" applyFont="1" applyFill="1">
      <alignment vertical="center"/>
    </xf>
    <xf numFmtId="0" fontId="23" fillId="50" borderId="26" xfId="0" applyFont="1" applyFill="1" applyBorder="1">
      <alignment vertical="center"/>
    </xf>
    <xf numFmtId="0" fontId="23" fillId="51" borderId="25" xfId="0" applyFont="1" applyFill="1" applyBorder="1">
      <alignment vertical="center"/>
    </xf>
    <xf numFmtId="0" fontId="23" fillId="51" borderId="15" xfId="0" applyFont="1" applyFill="1" applyBorder="1">
      <alignment vertical="center"/>
    </xf>
    <xf numFmtId="0" fontId="23" fillId="52" borderId="0" xfId="0" applyFont="1" applyFill="1">
      <alignment vertical="center"/>
    </xf>
    <xf numFmtId="0" fontId="23" fillId="52" borderId="26" xfId="0" applyFont="1" applyFill="1" applyBorder="1">
      <alignment vertical="center"/>
    </xf>
    <xf numFmtId="0" fontId="22" fillId="39" borderId="25" xfId="0" applyFont="1" applyFill="1" applyBorder="1" applyAlignment="1">
      <alignment vertical="center" wrapText="1"/>
    </xf>
    <xf numFmtId="0" fontId="23" fillId="55" borderId="25" xfId="0" applyFont="1" applyFill="1" applyBorder="1">
      <alignment vertical="center"/>
    </xf>
    <xf numFmtId="0" fontId="23" fillId="52" borderId="24" xfId="0" applyFont="1" applyFill="1" applyBorder="1">
      <alignment vertical="center"/>
    </xf>
    <xf numFmtId="0" fontId="23" fillId="52" borderId="15" xfId="0" applyFont="1" applyFill="1" applyBorder="1">
      <alignment vertical="center"/>
    </xf>
    <xf numFmtId="0" fontId="23" fillId="50" borderId="25" xfId="0" applyFont="1" applyFill="1" applyBorder="1">
      <alignment vertical="center"/>
    </xf>
    <xf numFmtId="0" fontId="23" fillId="50" borderId="15" xfId="0" applyFont="1" applyFill="1" applyBorder="1">
      <alignment vertical="center"/>
    </xf>
    <xf numFmtId="0" fontId="23" fillId="56" borderId="25" xfId="0" applyFont="1" applyFill="1" applyBorder="1">
      <alignment vertical="center"/>
    </xf>
    <xf numFmtId="0" fontId="23" fillId="56" borderId="15" xfId="0" applyFont="1" applyFill="1" applyBorder="1">
      <alignment vertical="center"/>
    </xf>
    <xf numFmtId="0" fontId="23" fillId="48" borderId="35" xfId="0" applyFont="1" applyFill="1" applyBorder="1">
      <alignment vertical="center"/>
    </xf>
    <xf numFmtId="0" fontId="23" fillId="48" borderId="26" xfId="0" applyFont="1" applyFill="1" applyBorder="1">
      <alignment vertical="center"/>
    </xf>
    <xf numFmtId="0" fontId="23" fillId="40" borderId="26" xfId="0" applyFont="1" applyFill="1" applyBorder="1">
      <alignment vertical="center"/>
    </xf>
    <xf numFmtId="0" fontId="23" fillId="45" borderId="35" xfId="0" applyFont="1" applyFill="1" applyBorder="1">
      <alignment vertical="center"/>
    </xf>
    <xf numFmtId="0" fontId="23" fillId="45" borderId="26" xfId="0" applyFont="1" applyFill="1" applyBorder="1">
      <alignment vertical="center"/>
    </xf>
    <xf numFmtId="0" fontId="23" fillId="44" borderId="15" xfId="0" applyFont="1" applyFill="1" applyBorder="1">
      <alignment vertical="center"/>
    </xf>
    <xf numFmtId="0" fontId="23" fillId="0" borderId="25" xfId="0" applyFont="1" applyBorder="1">
      <alignment vertical="center"/>
    </xf>
    <xf numFmtId="0" fontId="23" fillId="0" borderId="15" xfId="0" applyFont="1" applyBorder="1">
      <alignment vertical="center"/>
    </xf>
    <xf numFmtId="0" fontId="23" fillId="47" borderId="0" xfId="0" applyFont="1" applyFill="1">
      <alignment vertical="center"/>
    </xf>
    <xf numFmtId="0" fontId="23" fillId="47" borderId="26" xfId="0" applyFont="1" applyFill="1" applyBorder="1">
      <alignment vertical="center"/>
    </xf>
    <xf numFmtId="0" fontId="23" fillId="56" borderId="0" xfId="0" applyFont="1" applyFill="1">
      <alignment vertical="center"/>
    </xf>
    <xf numFmtId="0" fontId="23" fillId="56" borderId="26" xfId="0" applyFont="1" applyFill="1" applyBorder="1">
      <alignment vertical="center"/>
    </xf>
    <xf numFmtId="0" fontId="23" fillId="48" borderId="0" xfId="0" applyFont="1" applyFill="1">
      <alignment vertical="center"/>
    </xf>
    <xf numFmtId="0" fontId="23" fillId="51" borderId="40" xfId="0" applyFont="1" applyFill="1" applyBorder="1">
      <alignment vertical="center"/>
    </xf>
    <xf numFmtId="0" fontId="23" fillId="40" borderId="15" xfId="0" applyFont="1" applyFill="1" applyBorder="1">
      <alignment vertical="center"/>
    </xf>
    <xf numFmtId="0" fontId="23" fillId="48" borderId="15" xfId="0" applyFont="1" applyFill="1" applyBorder="1">
      <alignment vertical="center"/>
    </xf>
    <xf numFmtId="41" fontId="10" fillId="10" borderId="20" xfId="1" applyFont="1" applyFill="1" applyBorder="1">
      <alignment vertical="center"/>
    </xf>
    <xf numFmtId="41" fontId="10" fillId="0" borderId="20" xfId="1" applyFont="1" applyFill="1" applyBorder="1" applyAlignment="1">
      <alignment horizontal="center" vertical="center"/>
    </xf>
    <xf numFmtId="41" fontId="10" fillId="10" borderId="17" xfId="1" applyFont="1" applyFill="1" applyBorder="1">
      <alignment vertical="center"/>
    </xf>
    <xf numFmtId="41" fontId="10" fillId="0" borderId="17" xfId="1" applyFont="1" applyFill="1" applyBorder="1" applyAlignment="1">
      <alignment horizontal="center" vertical="center"/>
    </xf>
    <xf numFmtId="41" fontId="25" fillId="5" borderId="20" xfId="1" applyFont="1" applyFill="1" applyBorder="1" applyAlignment="1">
      <alignment horizontal="right" vertical="center"/>
    </xf>
    <xf numFmtId="41" fontId="25" fillId="5" borderId="17" xfId="1" applyFont="1" applyFill="1" applyBorder="1" applyAlignment="1">
      <alignment horizontal="right" vertical="center"/>
    </xf>
    <xf numFmtId="41" fontId="25" fillId="0" borderId="20" xfId="1" applyFont="1" applyFill="1" applyBorder="1" applyAlignment="1">
      <alignment horizontal="right" vertical="center"/>
    </xf>
    <xf numFmtId="41" fontId="25" fillId="0" borderId="17" xfId="1" applyFont="1" applyFill="1" applyBorder="1" applyAlignment="1">
      <alignment horizontal="right" vertical="center"/>
    </xf>
    <xf numFmtId="0" fontId="26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41" fontId="8" fillId="5" borderId="20" xfId="1" applyFont="1" applyFill="1" applyBorder="1" applyAlignment="1">
      <alignment horizontal="right" vertical="center"/>
    </xf>
    <xf numFmtId="41" fontId="8" fillId="5" borderId="17" xfId="1" applyFont="1" applyFill="1" applyBorder="1" applyAlignment="1">
      <alignment horizontal="right" vertical="center"/>
    </xf>
    <xf numFmtId="0" fontId="10" fillId="5" borderId="22" xfId="3" applyFont="1" applyFill="1" applyBorder="1" applyAlignment="1" applyProtection="1">
      <alignment horizontal="right" vertical="center" wrapText="1"/>
    </xf>
    <xf numFmtId="0" fontId="10" fillId="5" borderId="2" xfId="0" applyFont="1" applyFill="1" applyBorder="1" applyAlignment="1">
      <alignment horizontal="right" vertical="center"/>
    </xf>
    <xf numFmtId="0" fontId="10" fillId="5" borderId="6" xfId="0" applyFont="1" applyFill="1" applyBorder="1" applyAlignment="1">
      <alignment horizontal="right" vertical="center"/>
    </xf>
    <xf numFmtId="0" fontId="10" fillId="5" borderId="11" xfId="0" applyFont="1" applyFill="1" applyBorder="1" applyAlignment="1">
      <alignment horizontal="right" vertical="center"/>
    </xf>
    <xf numFmtId="0" fontId="10" fillId="5" borderId="13" xfId="0" applyFont="1" applyFill="1" applyBorder="1" applyAlignment="1">
      <alignment horizontal="right" vertical="center"/>
    </xf>
    <xf numFmtId="0" fontId="10" fillId="5" borderId="10" xfId="0" applyFont="1" applyFill="1" applyBorder="1" applyAlignment="1">
      <alignment horizontal="right" vertical="center"/>
    </xf>
    <xf numFmtId="0" fontId="10" fillId="5" borderId="7" xfId="0" applyFont="1" applyFill="1" applyBorder="1" applyAlignment="1">
      <alignment horizontal="right" vertical="center"/>
    </xf>
    <xf numFmtId="0" fontId="10" fillId="5" borderId="2" xfId="3" applyFont="1" applyFill="1" applyBorder="1" applyAlignment="1" applyProtection="1">
      <alignment horizontal="right" vertical="center" wrapText="1"/>
    </xf>
    <xf numFmtId="0" fontId="10" fillId="5" borderId="4" xfId="3" applyFont="1" applyFill="1" applyBorder="1" applyAlignment="1" applyProtection="1">
      <alignment horizontal="right" vertical="center" wrapText="1"/>
    </xf>
    <xf numFmtId="0" fontId="10" fillId="5" borderId="6" xfId="3" applyFont="1" applyFill="1" applyBorder="1" applyAlignment="1" applyProtection="1">
      <alignment horizontal="right" vertical="center" wrapText="1"/>
    </xf>
    <xf numFmtId="0" fontId="10" fillId="5" borderId="13" xfId="0" applyFont="1" applyFill="1" applyBorder="1" applyAlignment="1">
      <alignment horizontal="right" vertical="center" wrapText="1"/>
    </xf>
    <xf numFmtId="0" fontId="10" fillId="5" borderId="10" xfId="0" applyFont="1" applyFill="1" applyBorder="1" applyAlignment="1">
      <alignment horizontal="right" vertical="center" wrapText="1"/>
    </xf>
    <xf numFmtId="41" fontId="10" fillId="5" borderId="9" xfId="1" applyFont="1" applyFill="1" applyBorder="1" applyAlignment="1">
      <alignment horizontal="center" vertical="center"/>
    </xf>
    <xf numFmtId="41" fontId="10" fillId="5" borderId="10" xfId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7" fillId="13" borderId="9" xfId="0" applyFont="1" applyFill="1" applyBorder="1" applyAlignment="1">
      <alignment horizontal="center" vertical="center" wrapText="1"/>
    </xf>
    <xf numFmtId="0" fontId="17" fillId="13" borderId="10" xfId="0" applyFont="1" applyFill="1" applyBorder="1" applyAlignment="1">
      <alignment horizontal="center" vertical="center"/>
    </xf>
    <xf numFmtId="0" fontId="17" fillId="14" borderId="9" xfId="0" applyFont="1" applyFill="1" applyBorder="1" applyAlignment="1">
      <alignment horizontal="center" vertical="center" wrapText="1"/>
    </xf>
    <xf numFmtId="0" fontId="17" fillId="14" borderId="10" xfId="0" applyFont="1" applyFill="1" applyBorder="1" applyAlignment="1">
      <alignment horizontal="center" vertical="center"/>
    </xf>
    <xf numFmtId="0" fontId="17" fillId="15" borderId="9" xfId="0" applyFont="1" applyFill="1" applyBorder="1" applyAlignment="1">
      <alignment horizontal="center" vertical="center" wrapText="1"/>
    </xf>
    <xf numFmtId="0" fontId="17" fillId="15" borderId="10" xfId="0" applyFont="1" applyFill="1" applyBorder="1" applyAlignment="1">
      <alignment horizontal="center" vertical="center"/>
    </xf>
    <xf numFmtId="0" fontId="10" fillId="16" borderId="1" xfId="3" applyFont="1" applyFill="1" applyBorder="1" applyAlignment="1" applyProtection="1">
      <alignment horizontal="center" vertical="center" wrapText="1"/>
    </xf>
    <xf numFmtId="0" fontId="10" fillId="16" borderId="3" xfId="3" applyFont="1" applyFill="1" applyBorder="1" applyAlignment="1" applyProtection="1">
      <alignment horizontal="center" vertical="center" wrapText="1"/>
    </xf>
    <xf numFmtId="0" fontId="10" fillId="16" borderId="8" xfId="3" applyFont="1" applyFill="1" applyBorder="1" applyAlignment="1" applyProtection="1">
      <alignment horizontal="center" vertical="center" wrapText="1"/>
    </xf>
    <xf numFmtId="0" fontId="10" fillId="16" borderId="2" xfId="3" applyFont="1" applyFill="1" applyBorder="1" applyAlignment="1" applyProtection="1">
      <alignment horizontal="center" vertical="center" wrapText="1"/>
    </xf>
    <xf numFmtId="0" fontId="10" fillId="16" borderId="6" xfId="3" applyFont="1" applyFill="1" applyBorder="1" applyAlignment="1" applyProtection="1">
      <alignment horizontal="center" vertical="center" wrapText="1"/>
    </xf>
    <xf numFmtId="0" fontId="10" fillId="7" borderId="2" xfId="3" applyFont="1" applyFill="1" applyBorder="1" applyAlignment="1" applyProtection="1">
      <alignment horizontal="center" vertical="center" wrapText="1"/>
    </xf>
    <xf numFmtId="0" fontId="10" fillId="7" borderId="6" xfId="3" applyFont="1" applyFill="1" applyBorder="1" applyAlignment="1" applyProtection="1">
      <alignment horizontal="center" vertical="center" wrapText="1"/>
    </xf>
    <xf numFmtId="0" fontId="10" fillId="32" borderId="7" xfId="3" applyFont="1" applyFill="1" applyBorder="1" applyAlignment="1" applyProtection="1">
      <alignment horizontal="center" vertical="center" wrapText="1"/>
    </xf>
    <xf numFmtId="0" fontId="10" fillId="32" borderId="10" xfId="3" applyFont="1" applyFill="1" applyBorder="1" applyAlignment="1" applyProtection="1">
      <alignment horizontal="center" vertical="center" wrapText="1"/>
    </xf>
    <xf numFmtId="0" fontId="10" fillId="8" borderId="9" xfId="3" applyFont="1" applyFill="1" applyBorder="1" applyAlignment="1" applyProtection="1">
      <alignment horizontal="center" vertical="center" wrapText="1"/>
    </xf>
    <xf numFmtId="0" fontId="10" fillId="8" borderId="7" xfId="3" applyFont="1" applyFill="1" applyBorder="1" applyAlignment="1" applyProtection="1">
      <alignment horizontal="center" vertical="center" wrapText="1"/>
    </xf>
    <xf numFmtId="0" fontId="10" fillId="8" borderId="10" xfId="3" applyFont="1" applyFill="1" applyBorder="1" applyAlignment="1" applyProtection="1">
      <alignment horizontal="center" vertical="center" wrapText="1"/>
    </xf>
    <xf numFmtId="0" fontId="16" fillId="9" borderId="9" xfId="3" applyFont="1" applyFill="1" applyBorder="1" applyAlignment="1" applyProtection="1">
      <alignment horizontal="center" vertical="center" wrapText="1"/>
    </xf>
    <xf numFmtId="0" fontId="16" fillId="9" borderId="10" xfId="3" applyFont="1" applyFill="1" applyBorder="1" applyAlignment="1" applyProtection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10" xfId="0" applyFont="1" applyFill="1" applyBorder="1" applyAlignment="1">
      <alignment horizontal="center" vertical="center"/>
    </xf>
    <xf numFmtId="0" fontId="17" fillId="11" borderId="9" xfId="0" applyFont="1" applyFill="1" applyBorder="1" applyAlignment="1">
      <alignment horizontal="center" vertical="center"/>
    </xf>
    <xf numFmtId="0" fontId="17" fillId="11" borderId="10" xfId="0" applyFont="1" applyFill="1" applyBorder="1" applyAlignment="1">
      <alignment horizontal="center" vertical="center"/>
    </xf>
    <xf numFmtId="0" fontId="17" fillId="12" borderId="9" xfId="0" applyFont="1" applyFill="1" applyBorder="1" applyAlignment="1">
      <alignment horizontal="center" vertical="center" wrapText="1"/>
    </xf>
    <xf numFmtId="0" fontId="17" fillId="12" borderId="10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0" fillId="6" borderId="1" xfId="3" applyFont="1" applyFill="1" applyBorder="1" applyAlignment="1" applyProtection="1">
      <alignment horizontal="center" vertical="center" wrapText="1"/>
    </xf>
    <xf numFmtId="0" fontId="10" fillId="6" borderId="3" xfId="3" applyFont="1" applyFill="1" applyBorder="1" applyAlignment="1" applyProtection="1">
      <alignment horizontal="center" vertical="center" wrapText="1"/>
    </xf>
    <xf numFmtId="0" fontId="10" fillId="6" borderId="9" xfId="3" applyFont="1" applyFill="1" applyBorder="1" applyAlignment="1" applyProtection="1">
      <alignment horizontal="center" vertical="center" wrapText="1"/>
    </xf>
    <xf numFmtId="0" fontId="10" fillId="6" borderId="7" xfId="3" applyFont="1" applyFill="1" applyBorder="1" applyAlignment="1" applyProtection="1">
      <alignment horizontal="center" vertical="center" wrapText="1"/>
    </xf>
    <xf numFmtId="0" fontId="10" fillId="6" borderId="10" xfId="3" applyFont="1" applyFill="1" applyBorder="1" applyAlignment="1" applyProtection="1">
      <alignment horizontal="center" vertical="center" wrapText="1"/>
    </xf>
    <xf numFmtId="0" fontId="10" fillId="17" borderId="9" xfId="3" applyFont="1" applyFill="1" applyBorder="1" applyAlignment="1" applyProtection="1">
      <alignment horizontal="center" vertical="center" wrapText="1"/>
    </xf>
    <xf numFmtId="0" fontId="10" fillId="17" borderId="10" xfId="3" applyFont="1" applyFill="1" applyBorder="1" applyAlignment="1" applyProtection="1">
      <alignment horizontal="center" vertical="center" wrapText="1"/>
    </xf>
    <xf numFmtId="0" fontId="15" fillId="33" borderId="9" xfId="3" applyFont="1" applyFill="1" applyBorder="1" applyAlignment="1" applyProtection="1">
      <alignment horizontal="center" vertical="center" wrapText="1"/>
    </xf>
    <xf numFmtId="0" fontId="15" fillId="33" borderId="10" xfId="3" applyFont="1" applyFill="1" applyBorder="1" applyAlignment="1" applyProtection="1">
      <alignment horizontal="center" vertical="center" wrapText="1"/>
    </xf>
    <xf numFmtId="0" fontId="15" fillId="33" borderId="7" xfId="3" applyFont="1" applyFill="1" applyBorder="1" applyAlignment="1" applyProtection="1">
      <alignment horizontal="center" vertical="center" wrapText="1"/>
    </xf>
    <xf numFmtId="0" fontId="17" fillId="20" borderId="9" xfId="0" applyFont="1" applyFill="1" applyBorder="1" applyAlignment="1">
      <alignment horizontal="center" vertical="center"/>
    </xf>
    <xf numFmtId="0" fontId="17" fillId="20" borderId="10" xfId="0" applyFont="1" applyFill="1" applyBorder="1" applyAlignment="1">
      <alignment horizontal="center" vertical="center"/>
    </xf>
    <xf numFmtId="0" fontId="23" fillId="42" borderId="7" xfId="0" applyFont="1" applyFill="1" applyBorder="1">
      <alignment vertical="center"/>
    </xf>
    <xf numFmtId="0" fontId="23" fillId="42" borderId="31" xfId="0" applyFont="1" applyFill="1" applyBorder="1">
      <alignment vertical="center"/>
    </xf>
    <xf numFmtId="0" fontId="23" fillId="43" borderId="7" xfId="0" applyFont="1" applyFill="1" applyBorder="1">
      <alignment vertical="center"/>
    </xf>
    <xf numFmtId="0" fontId="16" fillId="10" borderId="9" xfId="3" applyFont="1" applyFill="1" applyBorder="1" applyAlignment="1" applyProtection="1">
      <alignment horizontal="center" vertical="center" wrapText="1"/>
    </xf>
    <xf numFmtId="0" fontId="16" fillId="10" borderId="10" xfId="3" applyFont="1" applyFill="1" applyBorder="1" applyAlignment="1" applyProtection="1">
      <alignment horizontal="center" vertical="center" wrapText="1"/>
    </xf>
    <xf numFmtId="0" fontId="17" fillId="11" borderId="21" xfId="0" applyFont="1" applyFill="1" applyBorder="1" applyAlignment="1">
      <alignment horizontal="center" vertical="center" wrapText="1"/>
    </xf>
    <xf numFmtId="0" fontId="17" fillId="11" borderId="7" xfId="0" applyFont="1" applyFill="1" applyBorder="1" applyAlignment="1">
      <alignment horizontal="center" vertical="center"/>
    </xf>
    <xf numFmtId="0" fontId="10" fillId="32" borderId="9" xfId="3" applyFont="1" applyFill="1" applyBorder="1" applyAlignment="1" applyProtection="1">
      <alignment horizontal="center" vertical="center" wrapText="1"/>
    </xf>
    <xf numFmtId="0" fontId="10" fillId="17" borderId="1" xfId="3" applyFont="1" applyFill="1" applyBorder="1" applyAlignment="1" applyProtection="1">
      <alignment horizontal="center" vertical="center" wrapText="1"/>
    </xf>
    <xf numFmtId="0" fontId="10" fillId="17" borderId="3" xfId="3" applyFont="1" applyFill="1" applyBorder="1" applyAlignment="1" applyProtection="1">
      <alignment horizontal="center" vertical="center" wrapText="1"/>
    </xf>
    <xf numFmtId="0" fontId="10" fillId="17" borderId="8" xfId="3" applyFont="1" applyFill="1" applyBorder="1" applyAlignment="1" applyProtection="1">
      <alignment horizontal="center" vertical="center" wrapText="1"/>
    </xf>
    <xf numFmtId="0" fontId="17" fillId="18" borderId="9" xfId="0" applyFont="1" applyFill="1" applyBorder="1" applyAlignment="1">
      <alignment horizontal="center" vertical="center" wrapText="1"/>
    </xf>
    <xf numFmtId="0" fontId="17" fillId="18" borderId="10" xfId="0" applyFont="1" applyFill="1" applyBorder="1" applyAlignment="1">
      <alignment horizontal="center" vertical="center"/>
    </xf>
    <xf numFmtId="0" fontId="17" fillId="19" borderId="9" xfId="0" applyFont="1" applyFill="1" applyBorder="1" applyAlignment="1">
      <alignment horizontal="center" vertical="center" wrapText="1"/>
    </xf>
    <xf numFmtId="0" fontId="17" fillId="19" borderId="10" xfId="0" applyFont="1" applyFill="1" applyBorder="1" applyAlignment="1">
      <alignment horizontal="center" vertical="center"/>
    </xf>
    <xf numFmtId="0" fontId="17" fillId="20" borderId="9" xfId="0" applyFont="1" applyFill="1" applyBorder="1" applyAlignment="1">
      <alignment horizontal="center" vertical="center" wrapText="1"/>
    </xf>
    <xf numFmtId="0" fontId="10" fillId="21" borderId="1" xfId="3" applyFont="1" applyFill="1" applyBorder="1" applyAlignment="1" applyProtection="1">
      <alignment horizontal="center" vertical="center" wrapText="1"/>
    </xf>
    <xf numFmtId="0" fontId="10" fillId="21" borderId="3" xfId="3" applyFont="1" applyFill="1" applyBorder="1" applyAlignment="1" applyProtection="1">
      <alignment horizontal="center" vertical="center" wrapText="1"/>
    </xf>
    <xf numFmtId="0" fontId="10" fillId="21" borderId="8" xfId="3" applyFont="1" applyFill="1" applyBorder="1" applyAlignment="1" applyProtection="1">
      <alignment horizontal="center" vertical="center" wrapText="1"/>
    </xf>
    <xf numFmtId="0" fontId="10" fillId="22" borderId="2" xfId="3" applyFont="1" applyFill="1" applyBorder="1" applyAlignment="1" applyProtection="1">
      <alignment horizontal="center" vertical="center" wrapText="1"/>
    </xf>
    <xf numFmtId="0" fontId="10" fillId="22" borderId="6" xfId="3" applyFont="1" applyFill="1" applyBorder="1" applyAlignment="1" applyProtection="1">
      <alignment horizontal="center" vertical="center" wrapText="1"/>
    </xf>
    <xf numFmtId="0" fontId="10" fillId="6" borderId="2" xfId="3" applyFont="1" applyFill="1" applyBorder="1" applyAlignment="1" applyProtection="1">
      <alignment horizontal="center" vertical="center" wrapText="1"/>
    </xf>
    <xf numFmtId="0" fontId="10" fillId="6" borderId="6" xfId="3" applyFont="1" applyFill="1" applyBorder="1" applyAlignment="1" applyProtection="1">
      <alignment horizontal="center" vertical="center" wrapText="1"/>
    </xf>
    <xf numFmtId="0" fontId="10" fillId="0" borderId="21" xfId="3" applyFont="1" applyFill="1" applyBorder="1" applyAlignment="1" applyProtection="1">
      <alignment horizontal="center" vertical="center" wrapText="1"/>
    </xf>
    <xf numFmtId="0" fontId="10" fillId="0" borderId="10" xfId="3" applyFont="1" applyFill="1" applyBorder="1" applyAlignment="1" applyProtection="1">
      <alignment horizontal="center" vertical="center" wrapText="1"/>
    </xf>
    <xf numFmtId="0" fontId="17" fillId="23" borderId="21" xfId="0" applyFont="1" applyFill="1" applyBorder="1" applyAlignment="1">
      <alignment horizontal="center" vertical="center"/>
    </xf>
    <xf numFmtId="0" fontId="17" fillId="23" borderId="7" xfId="0" applyFont="1" applyFill="1" applyBorder="1" applyAlignment="1">
      <alignment horizontal="center" vertical="center"/>
    </xf>
    <xf numFmtId="0" fontId="10" fillId="26" borderId="1" xfId="3" applyFont="1" applyFill="1" applyBorder="1" applyAlignment="1" applyProtection="1">
      <alignment horizontal="center" vertical="center" wrapText="1"/>
    </xf>
    <xf numFmtId="0" fontId="10" fillId="26" borderId="3" xfId="3" applyFont="1" applyFill="1" applyBorder="1" applyAlignment="1" applyProtection="1">
      <alignment horizontal="center" vertical="center" wrapText="1"/>
    </xf>
    <xf numFmtId="0" fontId="10" fillId="26" borderId="8" xfId="3" applyFont="1" applyFill="1" applyBorder="1" applyAlignment="1" applyProtection="1">
      <alignment horizontal="center" vertical="center" wrapText="1"/>
    </xf>
    <xf numFmtId="0" fontId="17" fillId="11" borderId="9" xfId="4" applyFont="1" applyFill="1" applyBorder="1" applyAlignment="1">
      <alignment horizontal="center" vertical="center"/>
    </xf>
    <xf numFmtId="0" fontId="17" fillId="11" borderId="10" xfId="4" applyFont="1" applyFill="1" applyBorder="1" applyAlignment="1">
      <alignment horizontal="center" vertical="center"/>
    </xf>
    <xf numFmtId="0" fontId="17" fillId="14" borderId="9" xfId="4" applyFont="1" applyFill="1" applyBorder="1" applyAlignment="1">
      <alignment horizontal="center" vertical="center" wrapText="1"/>
    </xf>
    <xf numFmtId="0" fontId="17" fillId="14" borderId="10" xfId="4" applyFont="1" applyFill="1" applyBorder="1" applyAlignment="1">
      <alignment horizontal="center" vertical="center"/>
    </xf>
    <xf numFmtId="0" fontId="17" fillId="13" borderId="9" xfId="4" applyFont="1" applyFill="1" applyBorder="1" applyAlignment="1">
      <alignment horizontal="center" vertical="center" wrapText="1"/>
    </xf>
    <xf numFmtId="0" fontId="17" fillId="13" borderId="10" xfId="4" applyFont="1" applyFill="1" applyBorder="1" applyAlignment="1">
      <alignment horizontal="center" vertical="center"/>
    </xf>
    <xf numFmtId="0" fontId="16" fillId="0" borderId="9" xfId="4" applyFont="1" applyFill="1" applyBorder="1" applyAlignment="1">
      <alignment horizontal="center" vertical="center" wrapText="1"/>
    </xf>
    <xf numFmtId="0" fontId="16" fillId="0" borderId="10" xfId="4" applyFont="1" applyFill="1" applyBorder="1" applyAlignment="1">
      <alignment horizontal="center" vertical="center"/>
    </xf>
    <xf numFmtId="0" fontId="23" fillId="42" borderId="7" xfId="0" applyFont="1" applyFill="1" applyBorder="1" applyAlignment="1">
      <alignment vertical="center" wrapText="1"/>
    </xf>
    <xf numFmtId="0" fontId="23" fillId="43" borderId="7" xfId="0" applyFont="1" applyFill="1" applyBorder="1" applyAlignment="1">
      <alignment vertical="center" wrapText="1"/>
    </xf>
    <xf numFmtId="0" fontId="15" fillId="33" borderId="2" xfId="3" applyFont="1" applyFill="1" applyBorder="1" applyAlignment="1" applyProtection="1">
      <alignment horizontal="center" vertical="center" wrapText="1"/>
    </xf>
    <xf numFmtId="0" fontId="15" fillId="33" borderId="6" xfId="3" applyFont="1" applyFill="1" applyBorder="1" applyAlignment="1" applyProtection="1">
      <alignment horizontal="center" vertical="center" wrapText="1"/>
    </xf>
    <xf numFmtId="0" fontId="10" fillId="8" borderId="2" xfId="3" applyFont="1" applyFill="1" applyBorder="1" applyAlignment="1" applyProtection="1">
      <alignment horizontal="center" vertical="center" wrapText="1"/>
    </xf>
    <xf numFmtId="0" fontId="10" fillId="8" borderId="6" xfId="3" applyFont="1" applyFill="1" applyBorder="1" applyAlignment="1" applyProtection="1">
      <alignment horizontal="center" vertical="center" wrapText="1"/>
    </xf>
    <xf numFmtId="0" fontId="13" fillId="16" borderId="2" xfId="3" applyFont="1" applyFill="1" applyBorder="1" applyAlignment="1" applyProtection="1">
      <alignment horizontal="center" vertical="center" wrapText="1"/>
    </xf>
    <xf numFmtId="0" fontId="13" fillId="16" borderId="6" xfId="3" applyFont="1" applyFill="1" applyBorder="1" applyAlignment="1" applyProtection="1">
      <alignment horizontal="center" vertical="center" wrapText="1"/>
    </xf>
    <xf numFmtId="0" fontId="10" fillId="0" borderId="7" xfId="3" applyFont="1" applyFill="1" applyBorder="1" applyAlignment="1" applyProtection="1">
      <alignment horizontal="center" vertical="center" wrapText="1"/>
    </xf>
    <xf numFmtId="0" fontId="17" fillId="18" borderId="2" xfId="0" applyFont="1" applyFill="1" applyBorder="1" applyAlignment="1">
      <alignment horizontal="center" vertical="center" wrapText="1"/>
    </xf>
    <xf numFmtId="0" fontId="17" fillId="18" borderId="6" xfId="0" applyFont="1" applyFill="1" applyBorder="1" applyAlignment="1">
      <alignment horizontal="center" vertical="center"/>
    </xf>
    <xf numFmtId="0" fontId="17" fillId="24" borderId="9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/>
    </xf>
    <xf numFmtId="0" fontId="16" fillId="18" borderId="9" xfId="4" applyFont="1" applyFill="1" applyBorder="1" applyAlignment="1">
      <alignment horizontal="center" vertical="center" wrapText="1"/>
    </xf>
    <xf numFmtId="0" fontId="16" fillId="18" borderId="10" xfId="4" applyFont="1" applyFill="1" applyBorder="1" applyAlignment="1">
      <alignment horizontal="center" vertical="center"/>
    </xf>
    <xf numFmtId="0" fontId="16" fillId="27" borderId="9" xfId="4" applyFont="1" applyFill="1" applyBorder="1" applyAlignment="1">
      <alignment horizontal="center" vertical="center" wrapText="1"/>
    </xf>
    <xf numFmtId="0" fontId="16" fillId="27" borderId="10" xfId="4" applyFont="1" applyFill="1" applyBorder="1" applyAlignment="1">
      <alignment horizontal="center" vertical="center"/>
    </xf>
    <xf numFmtId="0" fontId="16" fillId="20" borderId="9" xfId="4" applyFont="1" applyFill="1" applyBorder="1" applyAlignment="1">
      <alignment horizontal="center" vertical="center" wrapText="1"/>
    </xf>
    <xf numFmtId="0" fontId="16" fillId="20" borderId="10" xfId="4" applyFont="1" applyFill="1" applyBorder="1" applyAlignment="1">
      <alignment horizontal="center" vertical="center"/>
    </xf>
    <xf numFmtId="0" fontId="10" fillId="8" borderId="11" xfId="3" applyFont="1" applyFill="1" applyBorder="1" applyAlignment="1" applyProtection="1">
      <alignment horizontal="center" vertical="center" wrapText="1"/>
    </xf>
    <xf numFmtId="0" fontId="10" fillId="32" borderId="2" xfId="3" applyFont="1" applyFill="1" applyBorder="1" applyAlignment="1" applyProtection="1">
      <alignment horizontal="center" vertical="center" wrapText="1"/>
    </xf>
    <xf numFmtId="0" fontId="10" fillId="32" borderId="6" xfId="3" applyFont="1" applyFill="1" applyBorder="1" applyAlignment="1" applyProtection="1">
      <alignment horizontal="center" vertical="center" wrapText="1"/>
    </xf>
    <xf numFmtId="0" fontId="10" fillId="0" borderId="9" xfId="3" applyFont="1" applyFill="1" applyBorder="1" applyAlignment="1" applyProtection="1">
      <alignment horizontal="center" vertical="center" wrapText="1"/>
    </xf>
    <xf numFmtId="0" fontId="17" fillId="11" borderId="9" xfId="4" applyFont="1" applyFill="1" applyBorder="1" applyAlignment="1">
      <alignment horizontal="center" vertical="center" wrapText="1"/>
    </xf>
    <xf numFmtId="0" fontId="17" fillId="11" borderId="10" xfId="4" applyFont="1" applyFill="1" applyBorder="1" applyAlignment="1">
      <alignment horizontal="center" vertical="center" wrapText="1"/>
    </xf>
    <xf numFmtId="0" fontId="16" fillId="25" borderId="9" xfId="4" applyFont="1" applyFill="1" applyBorder="1" applyAlignment="1">
      <alignment horizontal="center" vertical="center" wrapText="1"/>
    </xf>
    <xf numFmtId="0" fontId="16" fillId="25" borderId="10" xfId="4" applyFont="1" applyFill="1" applyBorder="1" applyAlignment="1">
      <alignment horizontal="center" vertical="center" wrapText="1"/>
    </xf>
    <xf numFmtId="0" fontId="16" fillId="0" borderId="9" xfId="3" applyFont="1" applyFill="1" applyBorder="1" applyAlignment="1" applyProtection="1">
      <alignment horizontal="center" vertical="center" wrapText="1"/>
    </xf>
    <xf numFmtId="0" fontId="16" fillId="0" borderId="10" xfId="3" applyFont="1" applyFill="1" applyBorder="1" applyAlignment="1" applyProtection="1">
      <alignment horizontal="center" vertical="center" wrapText="1"/>
    </xf>
    <xf numFmtId="0" fontId="16" fillId="24" borderId="9" xfId="4" applyFont="1" applyFill="1" applyBorder="1" applyAlignment="1">
      <alignment horizontal="center" vertical="center" wrapText="1"/>
    </xf>
    <xf numFmtId="0" fontId="16" fillId="24" borderId="10" xfId="4" applyFont="1" applyFill="1" applyBorder="1" applyAlignment="1">
      <alignment horizontal="center" vertical="center"/>
    </xf>
    <xf numFmtId="0" fontId="10" fillId="30" borderId="1" xfId="3" applyFont="1" applyFill="1" applyBorder="1" applyAlignment="1" applyProtection="1">
      <alignment horizontal="center" vertical="center" wrapText="1"/>
    </xf>
    <xf numFmtId="0" fontId="10" fillId="30" borderId="8" xfId="3" applyFont="1" applyFill="1" applyBorder="1" applyAlignment="1" applyProtection="1">
      <alignment horizontal="center" vertical="center" wrapText="1"/>
    </xf>
    <xf numFmtId="0" fontId="16" fillId="29" borderId="1" xfId="3" applyFont="1" applyFill="1" applyBorder="1" applyAlignment="1" applyProtection="1">
      <alignment horizontal="center" vertical="center" wrapText="1"/>
    </xf>
    <xf numFmtId="0" fontId="16" fillId="29" borderId="8" xfId="3" applyFont="1" applyFill="1" applyBorder="1" applyAlignment="1" applyProtection="1">
      <alignment horizontal="center" vertical="center" wrapText="1"/>
    </xf>
    <xf numFmtId="0" fontId="12" fillId="2" borderId="3" xfId="2" applyFont="1" applyBorder="1" applyAlignment="1" applyProtection="1">
      <alignment horizontal="center" vertical="center"/>
    </xf>
    <xf numFmtId="0" fontId="12" fillId="2" borderId="0" xfId="2" applyFont="1" applyBorder="1" applyAlignment="1" applyProtection="1">
      <alignment horizontal="center" vertical="center"/>
    </xf>
    <xf numFmtId="0" fontId="12" fillId="2" borderId="19" xfId="2" applyFont="1" applyBorder="1" applyAlignment="1" applyProtection="1">
      <alignment horizontal="center" vertical="center"/>
    </xf>
    <xf numFmtId="0" fontId="12" fillId="2" borderId="8" xfId="2" applyFont="1" applyBorder="1" applyAlignment="1" applyProtection="1">
      <alignment horizontal="center" vertical="center"/>
    </xf>
    <xf numFmtId="0" fontId="12" fillId="2" borderId="15" xfId="2" applyFont="1" applyBorder="1" applyAlignment="1" applyProtection="1">
      <alignment horizontal="center" vertical="center"/>
    </xf>
    <xf numFmtId="0" fontId="12" fillId="2" borderId="16" xfId="2" applyFont="1" applyBorder="1" applyAlignment="1" applyProtection="1">
      <alignment horizontal="center" vertical="center"/>
    </xf>
    <xf numFmtId="0" fontId="10" fillId="19" borderId="12" xfId="3" applyFont="1" applyFill="1" applyBorder="1" applyAlignment="1" applyProtection="1">
      <alignment horizontal="center" vertical="center" wrapText="1"/>
    </xf>
    <xf numFmtId="0" fontId="10" fillId="19" borderId="1" xfId="0" applyFont="1" applyFill="1" applyBorder="1" applyAlignment="1">
      <alignment horizontal="center" vertical="center" wrapText="1"/>
    </xf>
    <xf numFmtId="0" fontId="10" fillId="19" borderId="3" xfId="0" applyFont="1" applyFill="1" applyBorder="1" applyAlignment="1">
      <alignment horizontal="center" vertical="center" wrapText="1"/>
    </xf>
    <xf numFmtId="0" fontId="10" fillId="19" borderId="8" xfId="0" applyFont="1" applyFill="1" applyBorder="1" applyAlignment="1">
      <alignment horizontal="center" vertical="center" wrapText="1"/>
    </xf>
    <xf numFmtId="0" fontId="10" fillId="30" borderId="1" xfId="0" applyFont="1" applyFill="1" applyBorder="1" applyAlignment="1">
      <alignment horizontal="center" vertical="center" wrapText="1"/>
    </xf>
    <xf numFmtId="0" fontId="10" fillId="30" borderId="3" xfId="0" applyFont="1" applyFill="1" applyBorder="1" applyAlignment="1">
      <alignment horizontal="center" vertical="center" wrapText="1"/>
    </xf>
    <xf numFmtId="0" fontId="10" fillId="30" borderId="8" xfId="0" applyFont="1" applyFill="1" applyBorder="1" applyAlignment="1">
      <alignment horizontal="center" vertical="center" wrapText="1"/>
    </xf>
    <xf numFmtId="41" fontId="24" fillId="2" borderId="22" xfId="1" applyFont="1" applyFill="1" applyBorder="1" applyAlignment="1" applyProtection="1">
      <alignment horizontal="center" vertical="center"/>
    </xf>
    <xf numFmtId="41" fontId="13" fillId="5" borderId="41" xfId="1" applyFont="1" applyFill="1" applyBorder="1" applyAlignment="1" applyProtection="1">
      <alignment horizontal="center" vertical="center"/>
    </xf>
    <xf numFmtId="41" fontId="13" fillId="5" borderId="42" xfId="1" applyFont="1" applyFill="1" applyBorder="1" applyAlignment="1" applyProtection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41" fontId="13" fillId="28" borderId="22" xfId="1" applyFont="1" applyFill="1" applyBorder="1" applyAlignment="1" applyProtection="1">
      <alignment horizontal="center" vertical="center"/>
    </xf>
    <xf numFmtId="0" fontId="22" fillId="62" borderId="3" xfId="0" applyFont="1" applyFill="1" applyBorder="1">
      <alignment vertical="center"/>
    </xf>
    <xf numFmtId="0" fontId="22" fillId="62" borderId="23" xfId="0" applyFont="1" applyFill="1" applyBorder="1">
      <alignment vertical="center"/>
    </xf>
    <xf numFmtId="0" fontId="22" fillId="62" borderId="3" xfId="0" applyFont="1" applyFill="1" applyBorder="1" applyAlignment="1">
      <alignment vertical="center" wrapText="1"/>
    </xf>
    <xf numFmtId="0" fontId="22" fillId="62" borderId="23" xfId="0" applyFont="1" applyFill="1" applyBorder="1" applyAlignment="1">
      <alignment vertical="center" wrapText="1"/>
    </xf>
    <xf numFmtId="0" fontId="22" fillId="4" borderId="22" xfId="0" applyFont="1" applyFill="1" applyBorder="1" applyAlignment="1">
      <alignment horizontal="center" vertical="center"/>
    </xf>
    <xf numFmtId="0" fontId="22" fillId="59" borderId="3" xfId="0" applyFont="1" applyFill="1" applyBorder="1" applyAlignment="1">
      <alignment vertical="center" wrapText="1"/>
    </xf>
    <xf numFmtId="0" fontId="22" fillId="59" borderId="8" xfId="0" applyFont="1" applyFill="1" applyBorder="1" applyAlignment="1">
      <alignment vertical="center" wrapText="1"/>
    </xf>
    <xf numFmtId="0" fontId="22" fillId="37" borderId="3" xfId="0" applyFont="1" applyFill="1" applyBorder="1" applyAlignment="1">
      <alignment vertical="center" wrapText="1"/>
    </xf>
    <xf numFmtId="0" fontId="22" fillId="37" borderId="23" xfId="0" applyFont="1" applyFill="1" applyBorder="1" applyAlignment="1">
      <alignment vertical="center" wrapText="1"/>
    </xf>
    <xf numFmtId="0" fontId="22" fillId="51" borderId="3" xfId="0" applyFont="1" applyFill="1" applyBorder="1" applyAlignment="1">
      <alignment vertical="center" wrapText="1"/>
    </xf>
    <xf numFmtId="0" fontId="22" fillId="51" borderId="8" xfId="0" applyFont="1" applyFill="1" applyBorder="1" applyAlignment="1">
      <alignment vertical="center" wrapText="1"/>
    </xf>
    <xf numFmtId="0" fontId="22" fillId="51" borderId="23" xfId="0" applyFont="1" applyFill="1" applyBorder="1" applyAlignment="1">
      <alignment vertical="center" wrapText="1"/>
    </xf>
    <xf numFmtId="0" fontId="22" fillId="57" borderId="3" xfId="0" applyFont="1" applyFill="1" applyBorder="1" applyAlignment="1">
      <alignment vertical="center" wrapText="1"/>
    </xf>
    <xf numFmtId="0" fontId="22" fillId="57" borderId="23" xfId="0" applyFont="1" applyFill="1" applyBorder="1" applyAlignment="1">
      <alignment vertical="center" wrapText="1"/>
    </xf>
    <xf numFmtId="0" fontId="23" fillId="40" borderId="3" xfId="0" applyFont="1" applyFill="1" applyBorder="1" applyAlignment="1">
      <alignment vertical="center" wrapText="1"/>
    </xf>
    <xf numFmtId="0" fontId="23" fillId="40" borderId="23" xfId="0" applyFont="1" applyFill="1" applyBorder="1" applyAlignment="1">
      <alignment vertical="center" wrapText="1"/>
    </xf>
    <xf numFmtId="0" fontId="22" fillId="48" borderId="3" xfId="0" applyFont="1" applyFill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34" borderId="3" xfId="0" applyFont="1" applyFill="1" applyBorder="1" applyAlignment="1">
      <alignment vertical="center" wrapText="1"/>
    </xf>
    <xf numFmtId="0" fontId="22" fillId="34" borderId="23" xfId="0" applyFont="1" applyFill="1" applyBorder="1" applyAlignment="1">
      <alignment vertical="center" wrapText="1"/>
    </xf>
    <xf numFmtId="0" fontId="22" fillId="47" borderId="3" xfId="0" applyFont="1" applyFill="1" applyBorder="1" applyAlignment="1">
      <alignment vertical="center" wrapText="1"/>
    </xf>
    <xf numFmtId="0" fontId="22" fillId="47" borderId="23" xfId="0" applyFont="1" applyFill="1" applyBorder="1" applyAlignment="1">
      <alignment vertical="center" wrapText="1"/>
    </xf>
    <xf numFmtId="0" fontId="22" fillId="50" borderId="3" xfId="0" applyFont="1" applyFill="1" applyBorder="1" applyAlignment="1">
      <alignment vertical="center" wrapText="1"/>
    </xf>
    <xf numFmtId="0" fontId="22" fillId="50" borderId="23" xfId="0" applyFont="1" applyFill="1" applyBorder="1" applyAlignment="1">
      <alignment vertical="center" wrapText="1"/>
    </xf>
    <xf numFmtId="0" fontId="22" fillId="56" borderId="3" xfId="0" applyFont="1" applyFill="1" applyBorder="1" applyAlignment="1">
      <alignment vertical="center" wrapText="1"/>
    </xf>
    <xf numFmtId="0" fontId="22" fillId="56" borderId="23" xfId="0" applyFont="1" applyFill="1" applyBorder="1" applyAlignment="1">
      <alignment vertical="center" wrapText="1"/>
    </xf>
    <xf numFmtId="0" fontId="22" fillId="52" borderId="3" xfId="0" applyFont="1" applyFill="1" applyBorder="1" applyAlignment="1">
      <alignment vertical="center" wrapText="1"/>
    </xf>
    <xf numFmtId="0" fontId="22" fillId="52" borderId="23" xfId="0" applyFont="1" applyFill="1" applyBorder="1" applyAlignment="1">
      <alignment vertical="center" wrapText="1"/>
    </xf>
    <xf numFmtId="0" fontId="22" fillId="37" borderId="18" xfId="0" applyFont="1" applyFill="1" applyBorder="1" applyAlignment="1">
      <alignment vertical="center" wrapText="1"/>
    </xf>
    <xf numFmtId="0" fontId="22" fillId="58" borderId="3" xfId="0" applyFont="1" applyFill="1" applyBorder="1">
      <alignment vertical="center"/>
    </xf>
    <xf numFmtId="0" fontId="22" fillId="58" borderId="23" xfId="0" applyFont="1" applyFill="1" applyBorder="1">
      <alignment vertical="center"/>
    </xf>
    <xf numFmtId="0" fontId="22" fillId="48" borderId="23" xfId="0" applyFont="1" applyFill="1" applyBorder="1" applyAlignment="1">
      <alignment vertical="center" wrapText="1"/>
    </xf>
    <xf numFmtId="0" fontId="22" fillId="0" borderId="3" xfId="0" applyFont="1" applyBorder="1" applyAlignment="1">
      <alignment vertical="center" wrapText="1"/>
    </xf>
    <xf numFmtId="0" fontId="22" fillId="57" borderId="7" xfId="0" applyFont="1" applyFill="1" applyBorder="1" applyAlignment="1">
      <alignment vertical="center" wrapText="1"/>
    </xf>
    <xf numFmtId="0" fontId="22" fillId="57" borderId="27" xfId="0" applyFont="1" applyFill="1" applyBorder="1" applyAlignment="1">
      <alignment vertical="center" wrapText="1"/>
    </xf>
    <xf numFmtId="0" fontId="23" fillId="40" borderId="3" xfId="0" applyFont="1" applyFill="1" applyBorder="1">
      <alignment vertical="center"/>
    </xf>
    <xf numFmtId="0" fontId="23" fillId="40" borderId="23" xfId="0" applyFont="1" applyFill="1" applyBorder="1">
      <alignment vertical="center"/>
    </xf>
    <xf numFmtId="0" fontId="23" fillId="45" borderId="1" xfId="0" applyFont="1" applyFill="1" applyBorder="1" applyAlignment="1">
      <alignment vertical="center" wrapText="1"/>
    </xf>
    <xf numFmtId="0" fontId="23" fillId="45" borderId="23" xfId="0" applyFont="1" applyFill="1" applyBorder="1" applyAlignment="1">
      <alignment vertical="center" wrapText="1"/>
    </xf>
    <xf numFmtId="0" fontId="23" fillId="44" borderId="3" xfId="0" applyFont="1" applyFill="1" applyBorder="1" applyAlignment="1">
      <alignment vertical="center" wrapText="1"/>
    </xf>
    <xf numFmtId="0" fontId="23" fillId="44" borderId="23" xfId="0" applyFont="1" applyFill="1" applyBorder="1" applyAlignment="1">
      <alignment vertical="center" wrapText="1"/>
    </xf>
    <xf numFmtId="0" fontId="22" fillId="39" borderId="7" xfId="0" applyFont="1" applyFill="1" applyBorder="1" applyAlignment="1">
      <alignment vertical="center" wrapText="1"/>
    </xf>
    <xf numFmtId="0" fontId="22" fillId="39" borderId="27" xfId="0" applyFont="1" applyFill="1" applyBorder="1" applyAlignment="1">
      <alignment vertical="center" wrapText="1"/>
    </xf>
    <xf numFmtId="0" fontId="23" fillId="40" borderId="33" xfId="0" applyFont="1" applyFill="1" applyBorder="1" applyAlignment="1">
      <alignment vertical="center" wrapText="1"/>
    </xf>
    <xf numFmtId="0" fontId="23" fillId="40" borderId="34" xfId="0" applyFont="1" applyFill="1" applyBorder="1" applyAlignment="1">
      <alignment vertical="center" wrapText="1"/>
    </xf>
    <xf numFmtId="0" fontId="23" fillId="48" borderId="9" xfId="0" applyFont="1" applyFill="1" applyBorder="1" applyAlignment="1">
      <alignment vertical="center" wrapText="1"/>
    </xf>
    <xf numFmtId="0" fontId="23" fillId="48" borderId="27" xfId="0" applyFont="1" applyFill="1" applyBorder="1" applyAlignment="1">
      <alignment vertical="center" wrapText="1"/>
    </xf>
    <xf numFmtId="0" fontId="22" fillId="49" borderId="3" xfId="0" applyFont="1" applyFill="1" applyBorder="1" applyAlignment="1">
      <alignment vertical="center" wrapText="1"/>
    </xf>
    <xf numFmtId="0" fontId="22" fillId="49" borderId="23" xfId="0" applyFont="1" applyFill="1" applyBorder="1" applyAlignment="1">
      <alignment vertical="center" wrapText="1"/>
    </xf>
    <xf numFmtId="0" fontId="23" fillId="50" borderId="3" xfId="0" applyFont="1" applyFill="1" applyBorder="1" applyAlignment="1">
      <alignment vertical="center" wrapText="1"/>
    </xf>
    <xf numFmtId="0" fontId="23" fillId="50" borderId="23" xfId="0" applyFont="1" applyFill="1" applyBorder="1" applyAlignment="1">
      <alignment vertical="center" wrapText="1"/>
    </xf>
    <xf numFmtId="0" fontId="23" fillId="56" borderId="3" xfId="0" applyFont="1" applyFill="1" applyBorder="1" applyAlignment="1">
      <alignment vertical="center" wrapText="1"/>
    </xf>
    <xf numFmtId="0" fontId="23" fillId="56" borderId="23" xfId="0" applyFont="1" applyFill="1" applyBorder="1" applyAlignment="1">
      <alignment vertical="center" wrapText="1"/>
    </xf>
    <xf numFmtId="0" fontId="23" fillId="52" borderId="3" xfId="0" applyFont="1" applyFill="1" applyBorder="1" applyAlignment="1">
      <alignment vertical="center" wrapText="1"/>
    </xf>
    <xf numFmtId="0" fontId="23" fillId="52" borderId="23" xfId="0" applyFont="1" applyFill="1" applyBorder="1" applyAlignment="1">
      <alignment vertical="center" wrapText="1"/>
    </xf>
    <xf numFmtId="0" fontId="22" fillId="53" borderId="3" xfId="0" applyFont="1" applyFill="1" applyBorder="1" applyAlignment="1">
      <alignment vertical="center" wrapText="1"/>
    </xf>
    <xf numFmtId="0" fontId="22" fillId="53" borderId="23" xfId="0" applyFont="1" applyFill="1" applyBorder="1" applyAlignment="1">
      <alignment vertical="center" wrapText="1"/>
    </xf>
    <xf numFmtId="0" fontId="22" fillId="54" borderId="3" xfId="0" applyFont="1" applyFill="1" applyBorder="1" applyAlignment="1">
      <alignment vertical="center" wrapText="1"/>
    </xf>
    <xf numFmtId="0" fontId="22" fillId="54" borderId="23" xfId="0" applyFont="1" applyFill="1" applyBorder="1" applyAlignment="1">
      <alignment vertical="center" wrapText="1"/>
    </xf>
    <xf numFmtId="0" fontId="22" fillId="39" borderId="3" xfId="0" applyFont="1" applyFill="1" applyBorder="1" applyAlignment="1">
      <alignment vertical="center" wrapText="1"/>
    </xf>
    <xf numFmtId="0" fontId="22" fillId="39" borderId="23" xfId="0" applyFont="1" applyFill="1" applyBorder="1" applyAlignment="1">
      <alignment vertical="center" wrapText="1"/>
    </xf>
    <xf numFmtId="0" fontId="23" fillId="55" borderId="32" xfId="0" applyFont="1" applyFill="1" applyBorder="1">
      <alignment vertical="center"/>
    </xf>
    <xf numFmtId="0" fontId="23" fillId="55" borderId="3" xfId="0" applyFont="1" applyFill="1" applyBorder="1">
      <alignment vertical="center"/>
    </xf>
    <xf numFmtId="0" fontId="23" fillId="52" borderId="1" xfId="0" applyFont="1" applyFill="1" applyBorder="1">
      <alignment vertical="center"/>
    </xf>
    <xf numFmtId="0" fontId="23" fillId="52" borderId="23" xfId="0" applyFont="1" applyFill="1" applyBorder="1">
      <alignment vertical="center"/>
    </xf>
    <xf numFmtId="0" fontId="22" fillId="47" borderId="1" xfId="0" applyFont="1" applyFill="1" applyBorder="1" applyAlignment="1">
      <alignment vertical="center" wrapText="1"/>
    </xf>
    <xf numFmtId="0" fontId="23" fillId="51" borderId="3" xfId="0" applyFont="1" applyFill="1" applyBorder="1" applyAlignment="1">
      <alignment vertical="center" wrapText="1"/>
    </xf>
    <xf numFmtId="0" fontId="23" fillId="51" borderId="23" xfId="0" applyFont="1" applyFill="1" applyBorder="1" applyAlignment="1">
      <alignment vertical="center" wrapText="1"/>
    </xf>
    <xf numFmtId="0" fontId="22" fillId="4" borderId="37" xfId="0" applyFont="1" applyFill="1" applyBorder="1" applyAlignment="1">
      <alignment horizontal="center" vertical="center"/>
    </xf>
    <xf numFmtId="0" fontId="22" fillId="4" borderId="38" xfId="0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vertical="center" wrapText="1"/>
    </xf>
    <xf numFmtId="0" fontId="22" fillId="35" borderId="1" xfId="0" applyFont="1" applyFill="1" applyBorder="1" applyAlignment="1">
      <alignment vertical="center" wrapText="1"/>
    </xf>
    <xf numFmtId="0" fontId="22" fillId="35" borderId="3" xfId="0" applyFont="1" applyFill="1" applyBorder="1" applyAlignment="1">
      <alignment vertical="center" wrapText="1"/>
    </xf>
    <xf numFmtId="0" fontId="22" fillId="35" borderId="23" xfId="0" applyFont="1" applyFill="1" applyBorder="1" applyAlignment="1">
      <alignment vertical="center" wrapText="1"/>
    </xf>
    <xf numFmtId="0" fontId="22" fillId="36" borderId="3" xfId="0" applyFont="1" applyFill="1" applyBorder="1" applyAlignment="1">
      <alignment vertical="center" wrapText="1"/>
    </xf>
    <xf numFmtId="0" fontId="22" fillId="36" borderId="23" xfId="0" applyFont="1" applyFill="1" applyBorder="1" applyAlignment="1">
      <alignment vertical="center" wrapText="1"/>
    </xf>
    <xf numFmtId="0" fontId="22" fillId="37" borderId="7" xfId="0" applyFont="1" applyFill="1" applyBorder="1" applyAlignment="1">
      <alignment vertical="center" wrapText="1"/>
    </xf>
    <xf numFmtId="0" fontId="22" fillId="37" borderId="27" xfId="0" applyFont="1" applyFill="1" applyBorder="1" applyAlignment="1">
      <alignment vertical="center" wrapText="1"/>
    </xf>
    <xf numFmtId="0" fontId="22" fillId="38" borderId="3" xfId="0" applyFont="1" applyFill="1" applyBorder="1" applyAlignment="1">
      <alignment vertical="center" wrapText="1"/>
    </xf>
    <xf numFmtId="0" fontId="22" fillId="38" borderId="23" xfId="0" applyFont="1" applyFill="1" applyBorder="1" applyAlignment="1">
      <alignment vertical="center" wrapText="1"/>
    </xf>
    <xf numFmtId="0" fontId="23" fillId="39" borderId="3" xfId="0" applyFont="1" applyFill="1" applyBorder="1" applyAlignment="1">
      <alignment vertical="center" wrapText="1"/>
    </xf>
    <xf numFmtId="0" fontId="23" fillId="39" borderId="23" xfId="0" applyFont="1" applyFill="1" applyBorder="1" applyAlignment="1">
      <alignment vertical="center" wrapText="1"/>
    </xf>
    <xf numFmtId="0" fontId="23" fillId="41" borderId="3" xfId="0" applyFont="1" applyFill="1" applyBorder="1" applyAlignment="1">
      <alignment vertical="center" wrapText="1"/>
    </xf>
    <xf numFmtId="0" fontId="23" fillId="41" borderId="23" xfId="0" applyFont="1" applyFill="1" applyBorder="1" applyAlignment="1">
      <alignment vertical="center" wrapText="1"/>
    </xf>
    <xf numFmtId="0" fontId="23" fillId="0" borderId="3" xfId="0" applyFont="1" applyBorder="1" applyAlignment="1">
      <alignment vertical="center" wrapText="1"/>
    </xf>
    <xf numFmtId="0" fontId="23" fillId="0" borderId="23" xfId="0" applyFont="1" applyBorder="1" applyAlignment="1">
      <alignment vertical="center" wrapText="1"/>
    </xf>
    <xf numFmtId="0" fontId="23" fillId="44" borderId="1" xfId="0" applyFont="1" applyFill="1" applyBorder="1" applyAlignment="1">
      <alignment vertical="center" wrapText="1"/>
    </xf>
    <xf numFmtId="0" fontId="23" fillId="45" borderId="3" xfId="0" applyFont="1" applyFill="1" applyBorder="1" applyAlignment="1">
      <alignment vertical="center" wrapText="1"/>
    </xf>
    <xf numFmtId="0" fontId="23" fillId="46" borderId="3" xfId="0" applyFont="1" applyFill="1" applyBorder="1" applyAlignment="1">
      <alignment vertical="center" wrapText="1"/>
    </xf>
    <xf numFmtId="0" fontId="23" fillId="46" borderId="23" xfId="0" applyFont="1" applyFill="1" applyBorder="1" applyAlignment="1">
      <alignment vertical="center" wrapText="1"/>
    </xf>
  </cellXfs>
  <cellStyles count="7">
    <cellStyle name="20% - 강조색6" xfId="3" builtinId="50"/>
    <cellStyle name="Normal 2" xfId="5" xr:uid="{4997F3E1-084A-44AD-96A3-70D07AF46F6F}"/>
    <cellStyle name="Normal 4" xfId="4" xr:uid="{10A24402-A8D3-457A-9B13-CC3F1022CD17}"/>
    <cellStyle name="나쁨" xfId="2" builtinId="27"/>
    <cellStyle name="쉼표 [0]" xfId="1" builtinId="6"/>
    <cellStyle name="표준" xfId="0" builtinId="0"/>
    <cellStyle name="標準 5 2" xfId="6" xr:uid="{ABE234B7-1899-4CB7-93C2-6ABF580BDA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16B2-8F71-4C7E-9829-E8EB1DE53EC5}">
  <dimension ref="B2:T166"/>
  <sheetViews>
    <sheetView workbookViewId="0">
      <pane xSplit="4" topLeftCell="E1" activePane="topRight" state="frozen"/>
      <selection pane="topRight" activeCell="K13" sqref="K13"/>
    </sheetView>
  </sheetViews>
  <sheetFormatPr defaultRowHeight="16.5"/>
  <cols>
    <col min="1" max="1" width="9" style="8"/>
    <col min="2" max="2" width="13.125" style="8" customWidth="1"/>
    <col min="3" max="3" width="12.75" style="8" customWidth="1"/>
    <col min="4" max="16384" width="9" style="8"/>
  </cols>
  <sheetData>
    <row r="2" spans="2:20" ht="18" thickBot="1">
      <c r="B2" s="353" t="s">
        <v>0</v>
      </c>
      <c r="C2" s="353"/>
      <c r="D2" s="353"/>
      <c r="E2" s="48"/>
      <c r="F2" s="48"/>
      <c r="G2" s="48"/>
      <c r="H2" s="48"/>
      <c r="I2" s="48"/>
    </row>
    <row r="3" spans="2:20" ht="16.5" customHeight="1">
      <c r="B3" s="354" t="s">
        <v>1</v>
      </c>
      <c r="C3" s="356" t="s">
        <v>2</v>
      </c>
      <c r="D3" s="356" t="s">
        <v>3</v>
      </c>
      <c r="E3" s="49">
        <v>45748</v>
      </c>
      <c r="F3" s="49">
        <v>45778</v>
      </c>
      <c r="G3" s="49">
        <v>45809</v>
      </c>
      <c r="H3" s="49">
        <v>45839</v>
      </c>
      <c r="I3" s="49">
        <v>45870</v>
      </c>
      <c r="J3" s="49">
        <v>45901</v>
      </c>
      <c r="K3" s="49">
        <v>45931</v>
      </c>
      <c r="L3" s="49">
        <v>45962</v>
      </c>
      <c r="M3" s="49">
        <v>45992</v>
      </c>
      <c r="N3" s="49">
        <v>46023</v>
      </c>
      <c r="O3" s="49">
        <v>46055</v>
      </c>
      <c r="P3" s="49">
        <v>46083</v>
      </c>
      <c r="Q3" s="9"/>
      <c r="R3" s="9"/>
      <c r="S3" s="9"/>
    </row>
    <row r="4" spans="2:20" ht="17.25" thickBot="1">
      <c r="B4" s="355"/>
      <c r="C4" s="357"/>
      <c r="D4" s="357"/>
      <c r="E4" s="50" t="s">
        <v>4</v>
      </c>
      <c r="F4" s="50" t="s">
        <v>4</v>
      </c>
      <c r="G4" s="50" t="s">
        <v>4</v>
      </c>
      <c r="H4" s="50" t="s">
        <v>4</v>
      </c>
      <c r="I4" s="50" t="s">
        <v>4</v>
      </c>
      <c r="J4" s="50" t="s">
        <v>4</v>
      </c>
      <c r="K4" s="50" t="s">
        <v>4</v>
      </c>
      <c r="L4" s="50" t="s">
        <v>4</v>
      </c>
      <c r="M4" s="50" t="s">
        <v>4</v>
      </c>
      <c r="N4" s="50" t="s">
        <v>4</v>
      </c>
      <c r="O4" s="50" t="s">
        <v>4</v>
      </c>
      <c r="P4" s="50" t="s">
        <v>4</v>
      </c>
    </row>
    <row r="5" spans="2:20">
      <c r="B5" s="386" t="s">
        <v>5</v>
      </c>
      <c r="C5" s="388" t="s">
        <v>6</v>
      </c>
      <c r="D5" s="51" t="s">
        <v>7</v>
      </c>
      <c r="E5" s="10">
        <v>0</v>
      </c>
      <c r="F5" s="10">
        <v>96</v>
      </c>
      <c r="G5" s="10">
        <v>104</v>
      </c>
      <c r="H5" s="11">
        <v>0</v>
      </c>
      <c r="I5" s="11">
        <v>0</v>
      </c>
      <c r="J5" s="11">
        <v>0</v>
      </c>
      <c r="K5" s="12">
        <v>250</v>
      </c>
      <c r="L5" s="11">
        <v>0</v>
      </c>
      <c r="M5" s="11">
        <v>204</v>
      </c>
      <c r="N5" s="11">
        <v>50</v>
      </c>
      <c r="O5" s="11">
        <v>0</v>
      </c>
      <c r="P5" s="339">
        <v>0</v>
      </c>
    </row>
    <row r="6" spans="2:20">
      <c r="B6" s="387"/>
      <c r="C6" s="389"/>
      <c r="D6" s="53" t="s">
        <v>8</v>
      </c>
      <c r="E6" s="13">
        <v>296</v>
      </c>
      <c r="F6" s="13">
        <v>176</v>
      </c>
      <c r="G6" s="13">
        <v>492</v>
      </c>
      <c r="H6" s="13">
        <v>124</v>
      </c>
      <c r="I6" s="13">
        <v>131</v>
      </c>
      <c r="J6" s="13">
        <v>391</v>
      </c>
      <c r="K6" s="14">
        <v>986</v>
      </c>
      <c r="L6" s="13">
        <v>353</v>
      </c>
      <c r="M6" s="13">
        <v>329</v>
      </c>
      <c r="N6" s="13">
        <v>721</v>
      </c>
      <c r="O6" s="13">
        <v>309</v>
      </c>
      <c r="P6" s="339">
        <v>19</v>
      </c>
      <c r="Q6" s="9"/>
      <c r="R6" s="9"/>
      <c r="S6" s="9"/>
      <c r="T6" s="9"/>
    </row>
    <row r="7" spans="2:20" ht="17.25" thickBot="1">
      <c r="B7" s="387"/>
      <c r="C7" s="390"/>
      <c r="D7" s="54" t="s">
        <v>9</v>
      </c>
      <c r="E7" s="15">
        <v>228</v>
      </c>
      <c r="F7" s="15">
        <v>121</v>
      </c>
      <c r="G7" s="15">
        <v>130</v>
      </c>
      <c r="H7" s="15">
        <v>30</v>
      </c>
      <c r="I7" s="15">
        <v>50</v>
      </c>
      <c r="J7" s="15">
        <v>68</v>
      </c>
      <c r="K7" s="16">
        <v>394</v>
      </c>
      <c r="L7" s="15">
        <v>290</v>
      </c>
      <c r="M7" s="15">
        <v>124</v>
      </c>
      <c r="N7" s="15">
        <v>110</v>
      </c>
      <c r="O7" s="15">
        <v>173</v>
      </c>
      <c r="P7" s="339">
        <v>79</v>
      </c>
    </row>
    <row r="8" spans="2:20">
      <c r="B8" s="387"/>
      <c r="C8" s="391" t="s">
        <v>10</v>
      </c>
      <c r="D8" s="56" t="s">
        <v>11</v>
      </c>
      <c r="E8" s="17">
        <v>46</v>
      </c>
      <c r="F8" s="17">
        <v>30</v>
      </c>
      <c r="G8" s="17">
        <v>55</v>
      </c>
      <c r="H8" s="17">
        <v>53</v>
      </c>
      <c r="I8" s="17">
        <v>58</v>
      </c>
      <c r="J8" s="17">
        <v>135</v>
      </c>
      <c r="K8" s="18">
        <v>112</v>
      </c>
      <c r="L8" s="17">
        <v>66</v>
      </c>
      <c r="M8" s="17">
        <v>65</v>
      </c>
      <c r="N8" s="17">
        <v>82</v>
      </c>
      <c r="O8" s="17">
        <v>75</v>
      </c>
      <c r="P8" s="339">
        <v>23</v>
      </c>
    </row>
    <row r="9" spans="2:20" ht="17.25" thickBot="1">
      <c r="B9" s="387"/>
      <c r="C9" s="392"/>
      <c r="D9" s="57" t="s">
        <v>12</v>
      </c>
      <c r="E9" s="15">
        <v>24</v>
      </c>
      <c r="F9" s="15">
        <v>23</v>
      </c>
      <c r="G9" s="15">
        <v>26</v>
      </c>
      <c r="H9" s="15">
        <v>26</v>
      </c>
      <c r="I9" s="15">
        <v>23</v>
      </c>
      <c r="J9" s="15">
        <v>40</v>
      </c>
      <c r="K9" s="16">
        <v>57</v>
      </c>
      <c r="L9" s="15">
        <v>56</v>
      </c>
      <c r="M9" s="15">
        <v>47</v>
      </c>
      <c r="N9" s="15">
        <v>43</v>
      </c>
      <c r="O9" s="15">
        <v>27</v>
      </c>
      <c r="P9" s="339">
        <v>35</v>
      </c>
      <c r="Q9" s="9"/>
      <c r="R9" s="9"/>
      <c r="S9" s="9"/>
    </row>
    <row r="10" spans="2:20">
      <c r="B10" s="387"/>
      <c r="C10" s="393" t="s">
        <v>13</v>
      </c>
      <c r="D10" s="58" t="s">
        <v>11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/>
      <c r="K10" s="18"/>
      <c r="L10" s="17"/>
      <c r="M10" s="17"/>
      <c r="N10" s="17"/>
      <c r="O10" s="17"/>
      <c r="P10" s="340"/>
    </row>
    <row r="11" spans="2:20" ht="17.25" thickBot="1">
      <c r="B11" s="387"/>
      <c r="C11" s="394"/>
      <c r="D11" s="59" t="s">
        <v>12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/>
      <c r="K11" s="16"/>
      <c r="L11" s="15"/>
      <c r="M11" s="15"/>
      <c r="N11" s="15"/>
      <c r="O11" s="15"/>
      <c r="P11" s="341"/>
    </row>
    <row r="12" spans="2:20">
      <c r="B12" s="387"/>
      <c r="C12" s="393" t="s">
        <v>14</v>
      </c>
      <c r="D12" s="60" t="s">
        <v>7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/>
      <c r="K12" s="14"/>
      <c r="L12" s="13"/>
      <c r="M12" s="13"/>
      <c r="N12" s="13"/>
      <c r="O12" s="13"/>
      <c r="P12" s="342"/>
      <c r="Q12" s="9"/>
    </row>
    <row r="13" spans="2:20">
      <c r="B13" s="387"/>
      <c r="C13" s="395"/>
      <c r="D13" s="61" t="s">
        <v>8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/>
      <c r="K13" s="14"/>
      <c r="L13" s="13"/>
      <c r="M13" s="13"/>
      <c r="N13" s="13"/>
      <c r="O13" s="13"/>
      <c r="P13" s="342"/>
    </row>
    <row r="14" spans="2:20" ht="17.25" thickBot="1">
      <c r="B14" s="387"/>
      <c r="C14" s="394"/>
      <c r="D14" s="59" t="s">
        <v>9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/>
      <c r="K14" s="16"/>
      <c r="L14" s="15"/>
      <c r="M14" s="15"/>
      <c r="N14" s="15"/>
      <c r="O14" s="15"/>
      <c r="P14" s="341"/>
    </row>
    <row r="15" spans="2:20">
      <c r="B15" s="387"/>
      <c r="C15" s="373" t="s">
        <v>15</v>
      </c>
      <c r="D15" s="62" t="s">
        <v>7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/>
      <c r="K15" s="18"/>
      <c r="L15" s="17"/>
      <c r="M15" s="17"/>
      <c r="N15" s="17"/>
      <c r="O15" s="17"/>
      <c r="P15" s="340"/>
    </row>
    <row r="16" spans="2:20">
      <c r="B16" s="387"/>
      <c r="C16" s="374"/>
      <c r="D16" s="63" t="s">
        <v>8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20">
        <v>0</v>
      </c>
      <c r="L16" s="19">
        <v>0</v>
      </c>
      <c r="M16" s="19">
        <v>0</v>
      </c>
      <c r="N16" s="19">
        <v>0</v>
      </c>
      <c r="O16" s="19">
        <v>0</v>
      </c>
      <c r="P16" s="339">
        <v>0</v>
      </c>
    </row>
    <row r="17" spans="2:16" ht="17.25" thickBot="1">
      <c r="B17" s="387"/>
      <c r="C17" s="375"/>
      <c r="D17" s="64" t="s">
        <v>9</v>
      </c>
      <c r="E17" s="15">
        <v>28</v>
      </c>
      <c r="F17" s="15">
        <v>14</v>
      </c>
      <c r="G17" s="15">
        <v>14</v>
      </c>
      <c r="H17" s="15">
        <v>12</v>
      </c>
      <c r="I17" s="15">
        <v>19</v>
      </c>
      <c r="J17" s="15">
        <v>26</v>
      </c>
      <c r="K17" s="16">
        <v>37</v>
      </c>
      <c r="L17" s="15">
        <v>23</v>
      </c>
      <c r="M17" s="15">
        <v>30</v>
      </c>
      <c r="N17" s="15">
        <v>40</v>
      </c>
      <c r="O17" s="15">
        <v>26</v>
      </c>
      <c r="P17" s="339">
        <v>25</v>
      </c>
    </row>
    <row r="18" spans="2:16">
      <c r="B18" s="387"/>
      <c r="C18" s="376" t="s">
        <v>16</v>
      </c>
      <c r="D18" s="65" t="s">
        <v>11</v>
      </c>
      <c r="E18" s="17">
        <v>93</v>
      </c>
      <c r="F18" s="17">
        <v>44</v>
      </c>
      <c r="G18" s="17">
        <v>44</v>
      </c>
      <c r="H18" s="17">
        <v>78</v>
      </c>
      <c r="I18" s="17">
        <v>86</v>
      </c>
      <c r="J18" s="17">
        <v>119</v>
      </c>
      <c r="K18" s="18">
        <v>94</v>
      </c>
      <c r="L18" s="17">
        <v>194</v>
      </c>
      <c r="M18" s="17">
        <v>222</v>
      </c>
      <c r="N18" s="17">
        <v>303</v>
      </c>
      <c r="O18" s="17">
        <v>112</v>
      </c>
      <c r="P18" s="339">
        <v>56</v>
      </c>
    </row>
    <row r="19" spans="2:16" ht="17.25" thickBot="1">
      <c r="B19" s="387"/>
      <c r="C19" s="377"/>
      <c r="D19" s="66" t="s">
        <v>12</v>
      </c>
      <c r="E19" s="15">
        <v>0</v>
      </c>
      <c r="F19" s="15">
        <v>0</v>
      </c>
      <c r="G19" s="15">
        <v>0</v>
      </c>
      <c r="H19" s="15">
        <v>1</v>
      </c>
      <c r="I19" s="15">
        <v>18</v>
      </c>
      <c r="J19" s="15">
        <v>28</v>
      </c>
      <c r="K19" s="16">
        <v>44</v>
      </c>
      <c r="L19" s="15">
        <v>32</v>
      </c>
      <c r="M19" s="15">
        <v>38</v>
      </c>
      <c r="N19" s="15">
        <v>25</v>
      </c>
      <c r="O19" s="15">
        <v>24</v>
      </c>
      <c r="P19" s="339">
        <v>13</v>
      </c>
    </row>
    <row r="20" spans="2:16">
      <c r="B20" s="387"/>
      <c r="C20" s="378" t="s">
        <v>17</v>
      </c>
      <c r="D20" s="67" t="s">
        <v>11</v>
      </c>
      <c r="E20" s="17"/>
      <c r="F20" s="17"/>
      <c r="G20" s="17"/>
      <c r="H20" s="17">
        <v>0</v>
      </c>
      <c r="I20" s="17">
        <v>1</v>
      </c>
      <c r="J20" s="17">
        <v>4</v>
      </c>
      <c r="K20" s="18">
        <v>13</v>
      </c>
      <c r="L20" s="17">
        <v>4</v>
      </c>
      <c r="M20" s="17">
        <v>2</v>
      </c>
      <c r="N20" s="17">
        <v>1</v>
      </c>
      <c r="O20" s="17">
        <v>24</v>
      </c>
      <c r="P20" s="339">
        <v>77</v>
      </c>
    </row>
    <row r="21" spans="2:16" ht="17.25" thickBot="1">
      <c r="B21" s="387"/>
      <c r="C21" s="379"/>
      <c r="D21" s="68" t="s">
        <v>12</v>
      </c>
      <c r="E21" s="15"/>
      <c r="F21" s="15"/>
      <c r="G21" s="15"/>
      <c r="H21" s="15">
        <v>1</v>
      </c>
      <c r="I21" s="15">
        <v>1</v>
      </c>
      <c r="J21" s="15">
        <v>1</v>
      </c>
      <c r="K21" s="16">
        <v>3</v>
      </c>
      <c r="L21" s="15">
        <v>6</v>
      </c>
      <c r="M21" s="15">
        <v>2</v>
      </c>
      <c r="N21" s="15">
        <v>4</v>
      </c>
      <c r="O21" s="15">
        <v>0</v>
      </c>
      <c r="P21" s="339">
        <v>2</v>
      </c>
    </row>
    <row r="22" spans="2:16">
      <c r="B22" s="387"/>
      <c r="C22" s="380" t="s">
        <v>18</v>
      </c>
      <c r="D22" s="69" t="s">
        <v>11</v>
      </c>
      <c r="E22" s="17"/>
      <c r="F22" s="17"/>
      <c r="G22" s="17"/>
      <c r="H22" s="17">
        <v>4</v>
      </c>
      <c r="I22" s="17">
        <v>7</v>
      </c>
      <c r="J22" s="17">
        <v>13</v>
      </c>
      <c r="K22" s="18">
        <v>35</v>
      </c>
      <c r="L22" s="17">
        <v>19</v>
      </c>
      <c r="M22" s="17">
        <v>54</v>
      </c>
      <c r="N22" s="17">
        <v>67</v>
      </c>
      <c r="O22" s="17">
        <v>81</v>
      </c>
      <c r="P22" s="339">
        <v>127</v>
      </c>
    </row>
    <row r="23" spans="2:16" ht="17.25" thickBot="1">
      <c r="B23" s="387"/>
      <c r="C23" s="381"/>
      <c r="D23" s="70" t="s">
        <v>12</v>
      </c>
      <c r="E23" s="15"/>
      <c r="F23" s="15"/>
      <c r="G23" s="15"/>
      <c r="H23" s="15">
        <v>0</v>
      </c>
      <c r="I23" s="15">
        <v>1</v>
      </c>
      <c r="J23" s="15">
        <v>3</v>
      </c>
      <c r="K23" s="16">
        <v>7</v>
      </c>
      <c r="L23" s="15">
        <v>5</v>
      </c>
      <c r="M23" s="15">
        <v>3</v>
      </c>
      <c r="N23" s="15">
        <v>10</v>
      </c>
      <c r="O23" s="15">
        <v>1</v>
      </c>
      <c r="P23" s="339">
        <v>5</v>
      </c>
    </row>
    <row r="24" spans="2:16">
      <c r="B24" s="387"/>
      <c r="C24" s="382" t="s">
        <v>19</v>
      </c>
      <c r="D24" s="71" t="s">
        <v>11</v>
      </c>
      <c r="E24" s="17"/>
      <c r="F24" s="17"/>
      <c r="G24" s="17"/>
      <c r="H24" s="17">
        <v>2</v>
      </c>
      <c r="I24" s="17">
        <v>3</v>
      </c>
      <c r="J24" s="17">
        <v>9</v>
      </c>
      <c r="K24" s="18">
        <v>9</v>
      </c>
      <c r="L24" s="17">
        <v>1</v>
      </c>
      <c r="M24" s="17">
        <v>0</v>
      </c>
      <c r="N24" s="17">
        <v>0</v>
      </c>
      <c r="O24" s="17">
        <v>0</v>
      </c>
      <c r="P24" s="339">
        <v>0</v>
      </c>
    </row>
    <row r="25" spans="2:16" ht="17.25" thickBot="1">
      <c r="B25" s="387"/>
      <c r="C25" s="383"/>
      <c r="D25" s="72" t="s">
        <v>12</v>
      </c>
      <c r="E25" s="15"/>
      <c r="F25" s="15"/>
      <c r="G25" s="15"/>
      <c r="H25" s="15">
        <v>0</v>
      </c>
      <c r="I25" s="15">
        <v>1</v>
      </c>
      <c r="J25" s="15">
        <v>6</v>
      </c>
      <c r="K25" s="16">
        <v>5</v>
      </c>
      <c r="L25" s="15">
        <v>2</v>
      </c>
      <c r="M25" s="15">
        <v>1</v>
      </c>
      <c r="N25" s="15">
        <v>4</v>
      </c>
      <c r="O25" s="15">
        <v>3</v>
      </c>
      <c r="P25" s="339">
        <v>0</v>
      </c>
    </row>
    <row r="26" spans="2:16">
      <c r="B26" s="387"/>
      <c r="C26" s="384" t="s">
        <v>20</v>
      </c>
      <c r="D26" s="73" t="s">
        <v>11</v>
      </c>
      <c r="E26" s="17"/>
      <c r="F26" s="17"/>
      <c r="G26" s="17"/>
      <c r="H26" s="17">
        <v>2</v>
      </c>
      <c r="I26" s="17">
        <v>5</v>
      </c>
      <c r="J26" s="17">
        <v>11</v>
      </c>
      <c r="K26" s="18">
        <v>13</v>
      </c>
      <c r="L26" s="17">
        <v>14</v>
      </c>
      <c r="M26" s="17">
        <v>3</v>
      </c>
      <c r="N26" s="17">
        <v>0</v>
      </c>
      <c r="O26" s="17">
        <v>0</v>
      </c>
      <c r="P26" s="339">
        <v>0</v>
      </c>
    </row>
    <row r="27" spans="2:16" ht="17.25" thickBot="1">
      <c r="B27" s="387"/>
      <c r="C27" s="385"/>
      <c r="D27" s="74" t="s">
        <v>12</v>
      </c>
      <c r="E27" s="15"/>
      <c r="F27" s="15"/>
      <c r="G27" s="15"/>
      <c r="H27" s="15">
        <v>0</v>
      </c>
      <c r="I27" s="15">
        <v>0</v>
      </c>
      <c r="J27" s="15">
        <v>2</v>
      </c>
      <c r="K27" s="16">
        <v>3</v>
      </c>
      <c r="L27" s="15">
        <v>2</v>
      </c>
      <c r="M27" s="15">
        <v>2</v>
      </c>
      <c r="N27" s="15">
        <v>4</v>
      </c>
      <c r="O27" s="15">
        <v>2</v>
      </c>
      <c r="P27" s="339">
        <v>4</v>
      </c>
    </row>
    <row r="28" spans="2:16">
      <c r="B28" s="387"/>
      <c r="C28" s="398" t="s">
        <v>21</v>
      </c>
      <c r="D28" s="171" t="s">
        <v>8</v>
      </c>
      <c r="E28" s="29"/>
      <c r="F28" s="29"/>
      <c r="G28" s="29"/>
      <c r="H28" s="29"/>
      <c r="I28" s="29"/>
      <c r="J28" s="29"/>
      <c r="K28" s="30"/>
      <c r="L28" s="29"/>
      <c r="M28" s="29"/>
      <c r="N28" s="17">
        <v>0</v>
      </c>
      <c r="O28" s="17">
        <v>0</v>
      </c>
      <c r="P28" s="339">
        <v>0</v>
      </c>
    </row>
    <row r="29" spans="2:16" ht="17.25" thickBot="1">
      <c r="B29" s="387"/>
      <c r="C29" s="399"/>
      <c r="D29" s="220" t="s">
        <v>9</v>
      </c>
      <c r="E29" s="29"/>
      <c r="F29" s="29"/>
      <c r="G29" s="29"/>
      <c r="H29" s="29"/>
      <c r="I29" s="29"/>
      <c r="J29" s="29"/>
      <c r="K29" s="30"/>
      <c r="L29" s="29"/>
      <c r="M29" s="29"/>
      <c r="N29" s="15">
        <v>0</v>
      </c>
      <c r="O29" s="15">
        <v>0</v>
      </c>
      <c r="P29" s="339">
        <v>0</v>
      </c>
    </row>
    <row r="30" spans="2:16">
      <c r="B30" s="387"/>
      <c r="C30" s="400" t="s">
        <v>22</v>
      </c>
      <c r="D30" s="221" t="s">
        <v>8</v>
      </c>
      <c r="E30" s="29"/>
      <c r="F30" s="29"/>
      <c r="G30" s="29"/>
      <c r="H30" s="29"/>
      <c r="I30" s="29"/>
      <c r="J30" s="29"/>
      <c r="K30" s="30"/>
      <c r="L30" s="29"/>
      <c r="M30" s="29"/>
      <c r="N30" s="17">
        <v>0</v>
      </c>
      <c r="O30" s="17">
        <v>0</v>
      </c>
      <c r="P30" s="339">
        <v>0</v>
      </c>
    </row>
    <row r="31" spans="2:16" ht="17.25" thickBot="1">
      <c r="B31" s="387"/>
      <c r="C31" s="400"/>
      <c r="D31" s="222" t="s">
        <v>9</v>
      </c>
      <c r="E31" s="29"/>
      <c r="F31" s="29"/>
      <c r="G31" s="29"/>
      <c r="H31" s="29"/>
      <c r="I31" s="29"/>
      <c r="J31" s="29"/>
      <c r="K31" s="30"/>
      <c r="L31" s="29"/>
      <c r="M31" s="29"/>
      <c r="N31" s="15">
        <v>0</v>
      </c>
      <c r="O31" s="15">
        <v>0</v>
      </c>
      <c r="P31" s="339">
        <v>0</v>
      </c>
    </row>
    <row r="32" spans="2:16">
      <c r="B32" s="387"/>
      <c r="C32" s="358" t="s">
        <v>23</v>
      </c>
      <c r="D32" s="75" t="s">
        <v>11</v>
      </c>
      <c r="E32" s="17"/>
      <c r="F32" s="17"/>
      <c r="G32" s="17"/>
      <c r="H32" s="17">
        <v>2</v>
      </c>
      <c r="I32" s="17">
        <v>5</v>
      </c>
      <c r="J32" s="17">
        <v>12</v>
      </c>
      <c r="K32" s="18">
        <v>9</v>
      </c>
      <c r="L32" s="17">
        <v>13</v>
      </c>
      <c r="M32" s="17">
        <v>7</v>
      </c>
      <c r="N32" s="17">
        <v>7</v>
      </c>
      <c r="O32" s="17">
        <v>15</v>
      </c>
      <c r="P32" s="339">
        <v>0</v>
      </c>
    </row>
    <row r="33" spans="2:16" ht="17.25" thickBot="1">
      <c r="B33" s="387"/>
      <c r="C33" s="359"/>
      <c r="D33" s="76" t="s">
        <v>12</v>
      </c>
      <c r="E33" s="15"/>
      <c r="F33" s="15"/>
      <c r="G33" s="15"/>
      <c r="H33" s="15">
        <v>1</v>
      </c>
      <c r="I33" s="15">
        <v>2</v>
      </c>
      <c r="J33" s="15">
        <v>4</v>
      </c>
      <c r="K33" s="16">
        <v>4</v>
      </c>
      <c r="L33" s="15">
        <v>2</v>
      </c>
      <c r="M33" s="15">
        <v>3</v>
      </c>
      <c r="N33" s="15">
        <v>4</v>
      </c>
      <c r="O33" s="15">
        <v>1</v>
      </c>
      <c r="P33" s="339">
        <v>3</v>
      </c>
    </row>
    <row r="34" spans="2:16">
      <c r="B34" s="387"/>
      <c r="C34" s="360" t="s">
        <v>24</v>
      </c>
      <c r="D34" s="77" t="s">
        <v>11</v>
      </c>
      <c r="E34" s="17"/>
      <c r="F34" s="17"/>
      <c r="G34" s="17"/>
      <c r="H34" s="17">
        <v>0</v>
      </c>
      <c r="I34" s="17">
        <v>5</v>
      </c>
      <c r="J34" s="17">
        <v>11</v>
      </c>
      <c r="K34" s="18">
        <v>1</v>
      </c>
      <c r="L34" s="17">
        <v>19</v>
      </c>
      <c r="M34" s="17">
        <v>12</v>
      </c>
      <c r="N34" s="17">
        <v>7</v>
      </c>
      <c r="O34" s="17">
        <v>13</v>
      </c>
      <c r="P34" s="339">
        <v>0</v>
      </c>
    </row>
    <row r="35" spans="2:16" ht="17.25" thickBot="1">
      <c r="B35" s="387"/>
      <c r="C35" s="361"/>
      <c r="D35" s="78" t="s">
        <v>12</v>
      </c>
      <c r="E35" s="15"/>
      <c r="F35" s="15"/>
      <c r="G35" s="15"/>
      <c r="H35" s="15">
        <v>0</v>
      </c>
      <c r="I35" s="15">
        <v>2</v>
      </c>
      <c r="J35" s="15">
        <v>1</v>
      </c>
      <c r="K35" s="16">
        <v>7</v>
      </c>
      <c r="L35" s="15">
        <v>9</v>
      </c>
      <c r="M35" s="15">
        <v>2</v>
      </c>
      <c r="N35" s="15">
        <v>4</v>
      </c>
      <c r="O35" s="15">
        <v>4</v>
      </c>
      <c r="P35" s="339">
        <v>3</v>
      </c>
    </row>
    <row r="36" spans="2:16" ht="17.25" thickBot="1">
      <c r="B36" s="387"/>
      <c r="C36" s="362" t="s">
        <v>25</v>
      </c>
      <c r="D36" s="79" t="s">
        <v>11</v>
      </c>
      <c r="E36" s="21"/>
      <c r="F36" s="21"/>
      <c r="G36" s="21"/>
      <c r="H36" s="21">
        <v>2</v>
      </c>
      <c r="I36" s="21">
        <v>4</v>
      </c>
      <c r="J36" s="21">
        <v>12</v>
      </c>
      <c r="K36" s="22">
        <v>7</v>
      </c>
      <c r="L36" s="21">
        <v>15</v>
      </c>
      <c r="M36" s="21">
        <v>32</v>
      </c>
      <c r="N36" s="21">
        <v>7</v>
      </c>
      <c r="O36" s="21">
        <v>14</v>
      </c>
      <c r="P36" s="339">
        <v>0</v>
      </c>
    </row>
    <row r="37" spans="2:16" ht="17.25" thickBot="1">
      <c r="B37" s="387"/>
      <c r="C37" s="363"/>
      <c r="D37" s="80" t="s">
        <v>12</v>
      </c>
      <c r="E37" s="23"/>
      <c r="F37" s="23"/>
      <c r="G37" s="23"/>
      <c r="H37" s="23">
        <v>0</v>
      </c>
      <c r="I37" s="23">
        <v>3</v>
      </c>
      <c r="J37" s="23">
        <v>3</v>
      </c>
      <c r="K37" s="24">
        <v>5</v>
      </c>
      <c r="L37" s="23">
        <v>6</v>
      </c>
      <c r="M37" s="23">
        <v>5</v>
      </c>
      <c r="N37" s="23">
        <v>6</v>
      </c>
      <c r="O37" s="23">
        <v>4</v>
      </c>
      <c r="P37" s="339">
        <v>5</v>
      </c>
    </row>
    <row r="38" spans="2:16">
      <c r="B38" s="364" t="s">
        <v>26</v>
      </c>
      <c r="C38" s="367" t="s">
        <v>27</v>
      </c>
      <c r="D38" s="82" t="s">
        <v>8</v>
      </c>
      <c r="E38" s="13">
        <v>43</v>
      </c>
      <c r="F38" s="13">
        <v>16</v>
      </c>
      <c r="G38" s="13">
        <v>36</v>
      </c>
      <c r="H38" s="13">
        <v>38</v>
      </c>
      <c r="I38" s="13">
        <v>46</v>
      </c>
      <c r="J38" s="13">
        <v>101</v>
      </c>
      <c r="K38" s="14">
        <v>197</v>
      </c>
      <c r="L38" s="13">
        <v>129</v>
      </c>
      <c r="M38" s="13">
        <v>48</v>
      </c>
      <c r="N38" s="13">
        <v>5</v>
      </c>
      <c r="O38" s="13">
        <v>0</v>
      </c>
      <c r="P38" s="339">
        <v>0</v>
      </c>
    </row>
    <row r="39" spans="2:16" ht="17.25" thickBot="1">
      <c r="B39" s="365"/>
      <c r="C39" s="368"/>
      <c r="D39" s="83" t="s">
        <v>28</v>
      </c>
      <c r="E39" s="15">
        <v>11</v>
      </c>
      <c r="F39" s="15">
        <v>7</v>
      </c>
      <c r="G39" s="15">
        <v>15</v>
      </c>
      <c r="H39" s="15">
        <v>23</v>
      </c>
      <c r="I39" s="15">
        <v>8</v>
      </c>
      <c r="J39" s="15">
        <v>22</v>
      </c>
      <c r="K39" s="16">
        <v>31</v>
      </c>
      <c r="L39" s="15">
        <v>50</v>
      </c>
      <c r="M39" s="15">
        <v>47</v>
      </c>
      <c r="N39" s="15">
        <v>57</v>
      </c>
      <c r="O39" s="15">
        <v>13</v>
      </c>
      <c r="P39" s="339">
        <v>13</v>
      </c>
    </row>
    <row r="40" spans="2:16">
      <c r="B40" s="365"/>
      <c r="C40" s="369" t="s">
        <v>29</v>
      </c>
      <c r="D40" s="84" t="s">
        <v>8</v>
      </c>
      <c r="E40" s="17">
        <v>0</v>
      </c>
      <c r="F40" s="17">
        <v>0</v>
      </c>
      <c r="G40" s="17">
        <v>0</v>
      </c>
      <c r="H40" s="17"/>
      <c r="I40" s="17">
        <v>0</v>
      </c>
      <c r="J40" s="17"/>
      <c r="K40" s="18">
        <v>0</v>
      </c>
      <c r="L40" s="17"/>
      <c r="M40" s="17"/>
      <c r="N40" s="17"/>
      <c r="O40" s="17"/>
      <c r="P40" s="340"/>
    </row>
    <row r="41" spans="2:16" ht="17.25" thickBot="1">
      <c r="B41" s="365"/>
      <c r="C41" s="370"/>
      <c r="D41" s="85" t="s">
        <v>28</v>
      </c>
      <c r="E41" s="15">
        <v>0</v>
      </c>
      <c r="F41" s="15">
        <v>0</v>
      </c>
      <c r="G41" s="15">
        <v>0</v>
      </c>
      <c r="H41" s="15"/>
      <c r="I41" s="15">
        <v>0</v>
      </c>
      <c r="J41" s="15"/>
      <c r="K41" s="16">
        <v>0</v>
      </c>
      <c r="L41" s="15"/>
      <c r="M41" s="15"/>
      <c r="N41" s="15"/>
      <c r="O41" s="15"/>
      <c r="P41" s="341"/>
    </row>
    <row r="42" spans="2:16">
      <c r="B42" s="365"/>
      <c r="C42" s="371" t="s">
        <v>30</v>
      </c>
      <c r="D42" s="86" t="s">
        <v>8</v>
      </c>
      <c r="E42" s="17">
        <v>10</v>
      </c>
      <c r="F42" s="17">
        <v>15</v>
      </c>
      <c r="G42" s="17">
        <v>12</v>
      </c>
      <c r="H42" s="17">
        <v>10</v>
      </c>
      <c r="I42" s="17">
        <v>24</v>
      </c>
      <c r="J42" s="17">
        <v>46</v>
      </c>
      <c r="K42" s="18">
        <v>106</v>
      </c>
      <c r="L42" s="17">
        <v>45</v>
      </c>
      <c r="M42" s="17">
        <v>28</v>
      </c>
      <c r="N42" s="17">
        <v>0</v>
      </c>
      <c r="O42" s="17">
        <v>0</v>
      </c>
      <c r="P42" s="339">
        <v>0</v>
      </c>
    </row>
    <row r="43" spans="2:16" ht="17.25" thickBot="1">
      <c r="B43" s="366"/>
      <c r="C43" s="372"/>
      <c r="D43" s="87" t="s">
        <v>9</v>
      </c>
      <c r="E43" s="15">
        <v>5</v>
      </c>
      <c r="F43" s="15">
        <v>8</v>
      </c>
      <c r="G43" s="15">
        <v>3</v>
      </c>
      <c r="H43" s="15">
        <v>15</v>
      </c>
      <c r="I43" s="15">
        <v>8</v>
      </c>
      <c r="J43" s="15">
        <v>15</v>
      </c>
      <c r="K43" s="16">
        <v>37</v>
      </c>
      <c r="L43" s="15">
        <v>24</v>
      </c>
      <c r="M43" s="15">
        <v>28</v>
      </c>
      <c r="N43" s="15">
        <v>36</v>
      </c>
      <c r="O43" s="15">
        <v>15</v>
      </c>
      <c r="P43" s="339">
        <v>13</v>
      </c>
    </row>
    <row r="44" spans="2:16">
      <c r="B44" s="406" t="s">
        <v>31</v>
      </c>
      <c r="C44" s="409" t="s">
        <v>32</v>
      </c>
      <c r="D44" s="88" t="s">
        <v>8</v>
      </c>
      <c r="E44" s="73"/>
      <c r="F44" s="73"/>
      <c r="G44" s="73"/>
      <c r="H44" s="25">
        <v>0</v>
      </c>
      <c r="I44" s="25">
        <v>0</v>
      </c>
      <c r="J44" s="25">
        <v>6</v>
      </c>
      <c r="K44" s="26">
        <v>2</v>
      </c>
      <c r="L44" s="25">
        <v>0</v>
      </c>
      <c r="M44" s="25">
        <v>7</v>
      </c>
      <c r="N44" s="25">
        <v>19</v>
      </c>
      <c r="O44" s="25">
        <v>5</v>
      </c>
      <c r="P44" s="339">
        <v>3</v>
      </c>
    </row>
    <row r="45" spans="2:16" ht="17.25" thickBot="1">
      <c r="B45" s="407"/>
      <c r="C45" s="410"/>
      <c r="D45" s="89" t="s">
        <v>9</v>
      </c>
      <c r="E45" s="74"/>
      <c r="F45" s="74"/>
      <c r="G45" s="74"/>
      <c r="H45" s="27">
        <v>0</v>
      </c>
      <c r="I45" s="27">
        <v>1</v>
      </c>
      <c r="J45" s="27">
        <v>3</v>
      </c>
      <c r="K45" s="28">
        <v>4</v>
      </c>
      <c r="L45" s="27">
        <v>1</v>
      </c>
      <c r="M45" s="27">
        <v>0</v>
      </c>
      <c r="N45" s="27">
        <v>2</v>
      </c>
      <c r="O45" s="27">
        <v>0</v>
      </c>
      <c r="P45" s="339">
        <v>1</v>
      </c>
    </row>
    <row r="46" spans="2:16">
      <c r="B46" s="407"/>
      <c r="C46" s="411" t="s">
        <v>33</v>
      </c>
      <c r="D46" s="90" t="s">
        <v>8</v>
      </c>
      <c r="E46" s="73"/>
      <c r="F46" s="73"/>
      <c r="G46" s="73"/>
      <c r="H46" s="25">
        <v>0</v>
      </c>
      <c r="I46" s="25">
        <v>6</v>
      </c>
      <c r="J46" s="25">
        <v>14</v>
      </c>
      <c r="K46" s="26">
        <v>14</v>
      </c>
      <c r="L46" s="25">
        <v>6</v>
      </c>
      <c r="M46" s="25">
        <v>10</v>
      </c>
      <c r="N46" s="25">
        <v>18</v>
      </c>
      <c r="O46" s="25">
        <v>0</v>
      </c>
      <c r="P46" s="339">
        <v>0</v>
      </c>
    </row>
    <row r="47" spans="2:16" ht="17.25" thickBot="1">
      <c r="B47" s="407"/>
      <c r="C47" s="412"/>
      <c r="D47" s="91" t="s">
        <v>9</v>
      </c>
      <c r="E47" s="74"/>
      <c r="F47" s="74"/>
      <c r="G47" s="74"/>
      <c r="H47" s="27">
        <v>0</v>
      </c>
      <c r="I47" s="27">
        <v>2</v>
      </c>
      <c r="J47" s="27">
        <v>10</v>
      </c>
      <c r="K47" s="28">
        <v>4</v>
      </c>
      <c r="L47" s="27">
        <v>6</v>
      </c>
      <c r="M47" s="27">
        <v>2</v>
      </c>
      <c r="N47" s="27">
        <v>0</v>
      </c>
      <c r="O47" s="27">
        <v>1</v>
      </c>
      <c r="P47" s="339">
        <v>0</v>
      </c>
    </row>
    <row r="48" spans="2:16">
      <c r="B48" s="407"/>
      <c r="C48" s="413" t="s">
        <v>34</v>
      </c>
      <c r="D48" s="92" t="s">
        <v>8</v>
      </c>
      <c r="E48" s="73"/>
      <c r="F48" s="73"/>
      <c r="G48" s="73"/>
      <c r="H48" s="25">
        <v>1</v>
      </c>
      <c r="I48" s="25">
        <v>0</v>
      </c>
      <c r="J48" s="25">
        <v>11</v>
      </c>
      <c r="K48" s="26">
        <v>9</v>
      </c>
      <c r="L48" s="25">
        <v>2</v>
      </c>
      <c r="M48" s="25">
        <v>0</v>
      </c>
      <c r="N48" s="25">
        <v>0</v>
      </c>
      <c r="O48" s="25">
        <v>0</v>
      </c>
      <c r="P48" s="339">
        <v>0</v>
      </c>
    </row>
    <row r="49" spans="2:16" ht="17.25" thickBot="1">
      <c r="B49" s="408"/>
      <c r="C49" s="397"/>
      <c r="D49" s="93" t="s">
        <v>9</v>
      </c>
      <c r="E49" s="74"/>
      <c r="F49" s="74"/>
      <c r="G49" s="74"/>
      <c r="H49" s="27">
        <v>0</v>
      </c>
      <c r="I49" s="27">
        <v>2</v>
      </c>
      <c r="J49" s="27">
        <v>6</v>
      </c>
      <c r="K49" s="28">
        <v>4</v>
      </c>
      <c r="L49" s="27">
        <v>0</v>
      </c>
      <c r="M49" s="27">
        <v>0</v>
      </c>
      <c r="N49" s="27">
        <v>2</v>
      </c>
      <c r="O49" s="27">
        <v>3</v>
      </c>
      <c r="P49" s="339">
        <v>3</v>
      </c>
    </row>
    <row r="50" spans="2:16">
      <c r="B50" s="414" t="s">
        <v>35</v>
      </c>
      <c r="C50" s="417" t="s">
        <v>36</v>
      </c>
      <c r="D50" s="94" t="s">
        <v>8</v>
      </c>
      <c r="E50" s="17">
        <v>171</v>
      </c>
      <c r="F50" s="17">
        <v>226</v>
      </c>
      <c r="G50" s="17">
        <v>444</v>
      </c>
      <c r="H50" s="17">
        <v>48</v>
      </c>
      <c r="I50" s="17">
        <v>142</v>
      </c>
      <c r="J50" s="17">
        <v>91</v>
      </c>
      <c r="K50" s="18">
        <v>62</v>
      </c>
      <c r="L50" s="17">
        <v>0</v>
      </c>
      <c r="M50" s="17">
        <v>212</v>
      </c>
      <c r="N50" s="17">
        <v>3</v>
      </c>
      <c r="O50" s="17">
        <v>0</v>
      </c>
      <c r="P50" s="339">
        <v>0</v>
      </c>
    </row>
    <row r="51" spans="2:16" ht="17.25" thickBot="1">
      <c r="B51" s="415"/>
      <c r="C51" s="418"/>
      <c r="D51" s="95" t="s">
        <v>9</v>
      </c>
      <c r="E51" s="13">
        <v>30</v>
      </c>
      <c r="F51" s="13">
        <v>135</v>
      </c>
      <c r="G51" s="13">
        <v>129</v>
      </c>
      <c r="H51" s="13">
        <v>25</v>
      </c>
      <c r="I51" s="13">
        <v>44</v>
      </c>
      <c r="J51" s="13">
        <v>25</v>
      </c>
      <c r="K51" s="14">
        <v>312</v>
      </c>
      <c r="L51" s="13">
        <v>7</v>
      </c>
      <c r="M51" s="13">
        <v>19</v>
      </c>
      <c r="N51" s="13">
        <v>212</v>
      </c>
      <c r="O51" s="13">
        <v>58</v>
      </c>
      <c r="P51" s="339">
        <v>20</v>
      </c>
    </row>
    <row r="52" spans="2:16">
      <c r="B52" s="415"/>
      <c r="C52" s="419" t="s">
        <v>37</v>
      </c>
      <c r="D52" s="51" t="s">
        <v>8</v>
      </c>
      <c r="E52" s="17">
        <v>150</v>
      </c>
      <c r="F52" s="17">
        <v>91</v>
      </c>
      <c r="G52" s="17">
        <v>96</v>
      </c>
      <c r="H52" s="17">
        <v>103</v>
      </c>
      <c r="I52" s="17">
        <v>115</v>
      </c>
      <c r="J52" s="17">
        <v>112</v>
      </c>
      <c r="K52" s="18">
        <v>3</v>
      </c>
      <c r="L52" s="17">
        <v>0</v>
      </c>
      <c r="M52" s="17">
        <v>0</v>
      </c>
      <c r="N52" s="17">
        <v>0</v>
      </c>
      <c r="O52" s="17">
        <v>0</v>
      </c>
      <c r="P52" s="339">
        <v>0</v>
      </c>
    </row>
    <row r="53" spans="2:16" ht="17.25" thickBot="1">
      <c r="B53" s="415"/>
      <c r="C53" s="420"/>
      <c r="D53" s="54" t="s">
        <v>9</v>
      </c>
      <c r="E53" s="15">
        <v>59</v>
      </c>
      <c r="F53" s="15">
        <v>37</v>
      </c>
      <c r="G53" s="15">
        <v>34</v>
      </c>
      <c r="H53" s="15">
        <v>35</v>
      </c>
      <c r="I53" s="15">
        <v>31</v>
      </c>
      <c r="J53" s="15">
        <v>24</v>
      </c>
      <c r="K53" s="16">
        <v>0</v>
      </c>
      <c r="L53" s="15">
        <v>0</v>
      </c>
      <c r="M53" s="15">
        <v>0</v>
      </c>
      <c r="N53" s="15">
        <v>0</v>
      </c>
      <c r="O53" s="15">
        <v>0</v>
      </c>
      <c r="P53" s="339">
        <v>0</v>
      </c>
    </row>
    <row r="54" spans="2:16">
      <c r="B54" s="415"/>
      <c r="C54" s="421" t="s">
        <v>38</v>
      </c>
      <c r="D54" s="73" t="s">
        <v>8</v>
      </c>
      <c r="E54" s="13">
        <v>11</v>
      </c>
      <c r="F54" s="13">
        <v>71</v>
      </c>
      <c r="G54" s="13">
        <v>100</v>
      </c>
      <c r="H54" s="17">
        <v>87</v>
      </c>
      <c r="I54" s="17">
        <v>82</v>
      </c>
      <c r="J54" s="17">
        <v>104</v>
      </c>
      <c r="K54" s="18">
        <v>28</v>
      </c>
      <c r="L54" s="17">
        <v>38</v>
      </c>
      <c r="M54" s="17">
        <v>29</v>
      </c>
      <c r="N54" s="17">
        <v>27</v>
      </c>
      <c r="O54" s="17">
        <v>20</v>
      </c>
      <c r="P54" s="339">
        <v>0</v>
      </c>
    </row>
    <row r="55" spans="2:16" ht="17.25" thickBot="1">
      <c r="B55" s="415"/>
      <c r="C55" s="422"/>
      <c r="D55" s="74" t="s">
        <v>9</v>
      </c>
      <c r="E55" s="15">
        <v>4</v>
      </c>
      <c r="F55" s="15">
        <v>14</v>
      </c>
      <c r="G55" s="15">
        <v>22</v>
      </c>
      <c r="H55" s="15">
        <v>11</v>
      </c>
      <c r="I55" s="15">
        <v>26</v>
      </c>
      <c r="J55" s="15">
        <v>23</v>
      </c>
      <c r="K55" s="16">
        <v>13</v>
      </c>
      <c r="L55" s="15">
        <v>7</v>
      </c>
      <c r="M55" s="15">
        <v>11</v>
      </c>
      <c r="N55" s="15">
        <v>13</v>
      </c>
      <c r="O55" s="15">
        <v>19</v>
      </c>
      <c r="P55" s="339">
        <v>29</v>
      </c>
    </row>
    <row r="56" spans="2:16">
      <c r="B56" s="415"/>
      <c r="C56" s="391" t="s">
        <v>39</v>
      </c>
      <c r="D56" s="97" t="s">
        <v>8</v>
      </c>
      <c r="E56" s="17">
        <v>57</v>
      </c>
      <c r="F56" s="17">
        <v>59</v>
      </c>
      <c r="G56" s="17">
        <v>64</v>
      </c>
      <c r="H56" s="17">
        <v>67</v>
      </c>
      <c r="I56" s="17">
        <v>74</v>
      </c>
      <c r="J56" s="17">
        <v>102</v>
      </c>
      <c r="K56" s="18">
        <v>75</v>
      </c>
      <c r="L56" s="17">
        <v>78</v>
      </c>
      <c r="M56" s="17">
        <v>190</v>
      </c>
      <c r="N56" s="17">
        <v>289</v>
      </c>
      <c r="O56" s="17">
        <v>177</v>
      </c>
      <c r="P56" s="339">
        <v>113</v>
      </c>
    </row>
    <row r="57" spans="2:16" ht="17.25" thickBot="1">
      <c r="B57" s="415"/>
      <c r="C57" s="392"/>
      <c r="D57" s="57" t="s">
        <v>9</v>
      </c>
      <c r="E57" s="15">
        <v>36</v>
      </c>
      <c r="F57" s="15">
        <v>32</v>
      </c>
      <c r="G57" s="15">
        <v>42</v>
      </c>
      <c r="H57" s="15">
        <v>37</v>
      </c>
      <c r="I57" s="15">
        <v>26</v>
      </c>
      <c r="J57" s="15">
        <v>50</v>
      </c>
      <c r="K57" s="16">
        <v>90</v>
      </c>
      <c r="L57" s="15">
        <v>26</v>
      </c>
      <c r="M57" s="15">
        <v>24</v>
      </c>
      <c r="N57" s="15">
        <v>52</v>
      </c>
      <c r="O57" s="15">
        <v>37</v>
      </c>
      <c r="P57" s="339">
        <v>55</v>
      </c>
    </row>
    <row r="58" spans="2:16">
      <c r="B58" s="415"/>
      <c r="C58" s="373" t="s">
        <v>15</v>
      </c>
      <c r="D58" s="98" t="s">
        <v>8</v>
      </c>
      <c r="E58" s="17">
        <v>106</v>
      </c>
      <c r="F58" s="17">
        <v>86</v>
      </c>
      <c r="G58" s="17">
        <v>5</v>
      </c>
      <c r="H58" s="17">
        <v>5</v>
      </c>
      <c r="I58" s="17">
        <v>0</v>
      </c>
      <c r="J58" s="17">
        <v>0</v>
      </c>
      <c r="K58" s="18">
        <v>0</v>
      </c>
      <c r="L58" s="17">
        <v>0</v>
      </c>
      <c r="M58" s="17">
        <v>0</v>
      </c>
      <c r="N58" s="17">
        <v>0</v>
      </c>
      <c r="O58" s="17">
        <v>0</v>
      </c>
      <c r="P58" s="339">
        <v>0</v>
      </c>
    </row>
    <row r="59" spans="2:16" ht="17.25" thickBot="1">
      <c r="B59" s="415"/>
      <c r="C59" s="375"/>
      <c r="D59" s="99" t="s">
        <v>9</v>
      </c>
      <c r="E59" s="15">
        <v>50</v>
      </c>
      <c r="F59" s="15">
        <v>37</v>
      </c>
      <c r="G59" s="15">
        <v>43</v>
      </c>
      <c r="H59" s="15">
        <v>45</v>
      </c>
      <c r="I59" s="15">
        <v>36</v>
      </c>
      <c r="J59" s="15">
        <v>58</v>
      </c>
      <c r="K59" s="16">
        <v>53</v>
      </c>
      <c r="L59" s="15">
        <v>28</v>
      </c>
      <c r="M59" s="15">
        <v>49</v>
      </c>
      <c r="N59" s="15">
        <v>46</v>
      </c>
      <c r="O59" s="15">
        <v>49</v>
      </c>
      <c r="P59" s="339">
        <v>60</v>
      </c>
    </row>
    <row r="60" spans="2:16">
      <c r="B60" s="415"/>
      <c r="C60" s="423" t="s">
        <v>40</v>
      </c>
      <c r="D60" s="100" t="s">
        <v>8</v>
      </c>
      <c r="E60" s="17"/>
      <c r="F60" s="17"/>
      <c r="G60" s="17"/>
      <c r="H60" s="17">
        <v>2</v>
      </c>
      <c r="I60" s="17">
        <v>2</v>
      </c>
      <c r="J60" s="17">
        <v>1</v>
      </c>
      <c r="K60" s="18">
        <v>0</v>
      </c>
      <c r="L60" s="17">
        <v>2</v>
      </c>
      <c r="M60" s="17">
        <v>2</v>
      </c>
      <c r="N60" s="17">
        <v>3</v>
      </c>
      <c r="O60" s="17">
        <v>9</v>
      </c>
      <c r="P60" s="339">
        <v>0</v>
      </c>
    </row>
    <row r="61" spans="2:16" ht="17.25" thickBot="1">
      <c r="B61" s="415"/>
      <c r="C61" s="424"/>
      <c r="D61" s="101" t="s">
        <v>9</v>
      </c>
      <c r="E61" s="15"/>
      <c r="F61" s="15"/>
      <c r="G61" s="15"/>
      <c r="H61" s="15">
        <v>2</v>
      </c>
      <c r="I61" s="15">
        <v>2</v>
      </c>
      <c r="J61" s="15">
        <v>2</v>
      </c>
      <c r="K61" s="16">
        <v>1</v>
      </c>
      <c r="L61" s="15">
        <v>0</v>
      </c>
      <c r="M61" s="15">
        <v>0</v>
      </c>
      <c r="N61" s="15">
        <v>0</v>
      </c>
      <c r="O61" s="15">
        <v>0</v>
      </c>
      <c r="P61" s="339">
        <v>1</v>
      </c>
    </row>
    <row r="62" spans="2:16">
      <c r="B62" s="415"/>
      <c r="C62" s="396" t="s">
        <v>41</v>
      </c>
      <c r="D62" s="92" t="s">
        <v>8</v>
      </c>
      <c r="E62" s="13"/>
      <c r="F62" s="13"/>
      <c r="G62" s="13"/>
      <c r="H62" s="17">
        <v>5</v>
      </c>
      <c r="I62" s="17">
        <v>14</v>
      </c>
      <c r="J62" s="17">
        <v>3</v>
      </c>
      <c r="K62" s="18">
        <v>3</v>
      </c>
      <c r="L62" s="17">
        <v>0</v>
      </c>
      <c r="M62" s="17">
        <v>1</v>
      </c>
      <c r="N62" s="17">
        <v>0</v>
      </c>
      <c r="O62" s="17">
        <v>0</v>
      </c>
      <c r="P62" s="339">
        <v>0</v>
      </c>
    </row>
    <row r="63" spans="2:16" ht="17.25" thickBot="1">
      <c r="B63" s="415"/>
      <c r="C63" s="397"/>
      <c r="D63" s="93" t="s">
        <v>9</v>
      </c>
      <c r="E63" s="15"/>
      <c r="F63" s="15"/>
      <c r="G63" s="15"/>
      <c r="H63" s="29">
        <v>1</v>
      </c>
      <c r="I63" s="29">
        <v>5</v>
      </c>
      <c r="J63" s="29">
        <v>4</v>
      </c>
      <c r="K63" s="30">
        <v>0</v>
      </c>
      <c r="L63" s="29">
        <v>0</v>
      </c>
      <c r="M63" s="29">
        <v>0</v>
      </c>
      <c r="N63" s="29">
        <v>0</v>
      </c>
      <c r="O63" s="29">
        <v>0</v>
      </c>
      <c r="P63" s="339">
        <v>0</v>
      </c>
    </row>
    <row r="64" spans="2:16">
      <c r="B64" s="415"/>
      <c r="C64" s="393" t="s">
        <v>6</v>
      </c>
      <c r="D64" s="102" t="s">
        <v>42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/>
      <c r="K64" s="18"/>
      <c r="L64" s="17"/>
      <c r="M64" s="17"/>
      <c r="N64" s="17"/>
      <c r="O64" s="17"/>
      <c r="P64" s="340"/>
    </row>
    <row r="65" spans="2:16" ht="17.25" thickBot="1">
      <c r="B65" s="415"/>
      <c r="C65" s="394"/>
      <c r="D65" s="103" t="s">
        <v>28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/>
      <c r="K65" s="16"/>
      <c r="L65" s="15"/>
      <c r="M65" s="15"/>
      <c r="N65" s="15"/>
      <c r="O65" s="15"/>
      <c r="P65" s="341"/>
    </row>
    <row r="66" spans="2:16">
      <c r="B66" s="415"/>
      <c r="C66" s="395" t="s">
        <v>30</v>
      </c>
      <c r="D66" s="104" t="s">
        <v>8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/>
      <c r="K66" s="14"/>
      <c r="L66" s="13"/>
      <c r="M66" s="13"/>
      <c r="N66" s="13"/>
      <c r="O66" s="13"/>
      <c r="P66" s="342"/>
    </row>
    <row r="67" spans="2:16" ht="17.25" thickBot="1">
      <c r="B67" s="416"/>
      <c r="C67" s="394"/>
      <c r="D67" s="103" t="s">
        <v>9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/>
      <c r="K67" s="16"/>
      <c r="L67" s="15"/>
      <c r="M67" s="15"/>
      <c r="N67" s="15"/>
      <c r="O67" s="15"/>
      <c r="P67" s="341"/>
    </row>
    <row r="68" spans="2:16">
      <c r="B68" s="364" t="s">
        <v>43</v>
      </c>
      <c r="C68" s="401" t="s">
        <v>44</v>
      </c>
      <c r="D68" s="73" t="s">
        <v>8</v>
      </c>
      <c r="E68" s="13">
        <v>1</v>
      </c>
      <c r="F68" s="13">
        <v>0</v>
      </c>
      <c r="G68" s="13">
        <v>0</v>
      </c>
      <c r="H68" s="25">
        <v>2</v>
      </c>
      <c r="I68" s="25">
        <v>2</v>
      </c>
      <c r="J68" s="25">
        <v>9</v>
      </c>
      <c r="K68" s="26">
        <v>4</v>
      </c>
      <c r="L68" s="25">
        <v>5</v>
      </c>
      <c r="M68" s="25">
        <v>0</v>
      </c>
      <c r="N68" s="25">
        <v>0</v>
      </c>
      <c r="O68" s="25">
        <v>0</v>
      </c>
      <c r="P68" s="339">
        <v>0</v>
      </c>
    </row>
    <row r="69" spans="2:16" ht="17.25" thickBot="1">
      <c r="B69" s="365"/>
      <c r="C69" s="402"/>
      <c r="D69" s="74" t="s">
        <v>9</v>
      </c>
      <c r="E69" s="15">
        <v>0</v>
      </c>
      <c r="F69" s="15">
        <v>0</v>
      </c>
      <c r="G69" s="15">
        <v>0</v>
      </c>
      <c r="H69" s="27">
        <v>1</v>
      </c>
      <c r="I69" s="27">
        <v>0</v>
      </c>
      <c r="J69" s="27">
        <v>1</v>
      </c>
      <c r="K69" s="28">
        <v>12</v>
      </c>
      <c r="L69" s="27">
        <v>8</v>
      </c>
      <c r="M69" s="27">
        <v>2</v>
      </c>
      <c r="N69" s="27">
        <v>0</v>
      </c>
      <c r="O69" s="27">
        <v>0</v>
      </c>
      <c r="P69" s="339">
        <v>0</v>
      </c>
    </row>
    <row r="70" spans="2:16">
      <c r="B70" s="365"/>
      <c r="C70" s="401" t="s">
        <v>45</v>
      </c>
      <c r="D70" s="67" t="s">
        <v>11</v>
      </c>
      <c r="E70" s="17"/>
      <c r="F70" s="17"/>
      <c r="G70" s="17"/>
      <c r="H70" s="25">
        <v>0</v>
      </c>
      <c r="I70" s="25">
        <v>4</v>
      </c>
      <c r="J70" s="25">
        <v>14</v>
      </c>
      <c r="K70" s="26">
        <v>5</v>
      </c>
      <c r="L70" s="25">
        <v>0</v>
      </c>
      <c r="M70" s="25">
        <v>0</v>
      </c>
      <c r="N70" s="25">
        <v>0</v>
      </c>
      <c r="O70" s="25">
        <v>0</v>
      </c>
      <c r="P70" s="339">
        <v>0</v>
      </c>
    </row>
    <row r="71" spans="2:16" ht="17.25" thickBot="1">
      <c r="B71" s="365"/>
      <c r="C71" s="402"/>
      <c r="D71" s="68" t="s">
        <v>12</v>
      </c>
      <c r="E71" s="15"/>
      <c r="F71" s="15"/>
      <c r="G71" s="15"/>
      <c r="H71" s="27">
        <v>1</v>
      </c>
      <c r="I71" s="27">
        <v>2</v>
      </c>
      <c r="J71" s="27">
        <v>2</v>
      </c>
      <c r="K71" s="28">
        <v>12</v>
      </c>
      <c r="L71" s="27">
        <v>7</v>
      </c>
      <c r="M71" s="27">
        <v>0</v>
      </c>
      <c r="N71" s="27">
        <v>0</v>
      </c>
      <c r="O71" s="27">
        <v>0</v>
      </c>
      <c r="P71" s="339">
        <v>0</v>
      </c>
    </row>
    <row r="72" spans="2:16">
      <c r="B72" s="365"/>
      <c r="C72" s="403" t="s">
        <v>46</v>
      </c>
      <c r="D72" s="69" t="s">
        <v>11</v>
      </c>
      <c r="E72" s="17"/>
      <c r="F72" s="17"/>
      <c r="G72" s="17"/>
      <c r="H72" s="25">
        <v>0</v>
      </c>
      <c r="I72" s="25">
        <v>1</v>
      </c>
      <c r="J72" s="25">
        <v>2</v>
      </c>
      <c r="K72" s="26">
        <v>23</v>
      </c>
      <c r="L72" s="25">
        <v>22</v>
      </c>
      <c r="M72" s="25">
        <v>0</v>
      </c>
      <c r="N72" s="25">
        <v>0</v>
      </c>
      <c r="O72" s="25">
        <v>0</v>
      </c>
      <c r="P72" s="339">
        <v>0</v>
      </c>
    </row>
    <row r="73" spans="2:16" ht="17.25" thickBot="1">
      <c r="B73" s="365"/>
      <c r="C73" s="404"/>
      <c r="D73" s="70" t="s">
        <v>12</v>
      </c>
      <c r="E73" s="15"/>
      <c r="F73" s="15"/>
      <c r="G73" s="15"/>
      <c r="H73" s="27">
        <v>0</v>
      </c>
      <c r="I73" s="27">
        <v>0</v>
      </c>
      <c r="J73" s="27">
        <v>2</v>
      </c>
      <c r="K73" s="28">
        <v>5</v>
      </c>
      <c r="L73" s="27">
        <v>8</v>
      </c>
      <c r="M73" s="27">
        <v>7</v>
      </c>
      <c r="N73" s="27">
        <v>1</v>
      </c>
      <c r="O73" s="27">
        <v>0</v>
      </c>
      <c r="P73" s="339">
        <v>0</v>
      </c>
    </row>
    <row r="74" spans="2:16">
      <c r="B74" s="365"/>
      <c r="C74" s="405" t="s">
        <v>47</v>
      </c>
      <c r="D74" s="105" t="s">
        <v>42</v>
      </c>
      <c r="E74" s="17">
        <v>0</v>
      </c>
      <c r="F74" s="17">
        <v>0</v>
      </c>
      <c r="G74" s="17">
        <v>0</v>
      </c>
      <c r="H74" s="25">
        <v>0</v>
      </c>
      <c r="I74" s="25">
        <v>1</v>
      </c>
      <c r="J74" s="25">
        <v>1</v>
      </c>
      <c r="K74" s="26">
        <v>15</v>
      </c>
      <c r="L74" s="25">
        <v>6</v>
      </c>
      <c r="M74" s="25">
        <v>0</v>
      </c>
      <c r="N74" s="25">
        <v>0</v>
      </c>
      <c r="O74" s="25">
        <v>0</v>
      </c>
      <c r="P74" s="339">
        <v>0</v>
      </c>
    </row>
    <row r="75" spans="2:16" ht="17.25" thickBot="1">
      <c r="B75" s="365"/>
      <c r="C75" s="372"/>
      <c r="D75" s="87" t="s">
        <v>28</v>
      </c>
      <c r="E75" s="15">
        <v>0</v>
      </c>
      <c r="F75" s="15">
        <v>0</v>
      </c>
      <c r="G75" s="15">
        <v>0</v>
      </c>
      <c r="H75" s="27">
        <v>0</v>
      </c>
      <c r="I75" s="27">
        <v>0</v>
      </c>
      <c r="J75" s="27">
        <v>1</v>
      </c>
      <c r="K75" s="28">
        <v>3</v>
      </c>
      <c r="L75" s="27">
        <v>7</v>
      </c>
      <c r="M75" s="27">
        <v>4</v>
      </c>
      <c r="N75" s="27">
        <v>2</v>
      </c>
      <c r="O75" s="27">
        <v>1</v>
      </c>
      <c r="P75" s="339">
        <v>1</v>
      </c>
    </row>
    <row r="76" spans="2:16">
      <c r="B76" s="406" t="s">
        <v>48</v>
      </c>
      <c r="C76" s="438" t="s">
        <v>6</v>
      </c>
      <c r="D76" s="102" t="s">
        <v>8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/>
      <c r="K76" s="14"/>
      <c r="L76" s="13"/>
      <c r="M76" s="13"/>
      <c r="N76" s="13"/>
      <c r="O76" s="13"/>
      <c r="P76" s="342"/>
    </row>
    <row r="77" spans="2:16" ht="17.25" thickBot="1">
      <c r="B77" s="407"/>
      <c r="C77" s="439"/>
      <c r="D77" s="103" t="s">
        <v>9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/>
      <c r="K77" s="16"/>
      <c r="L77" s="15"/>
      <c r="M77" s="15"/>
      <c r="N77" s="15"/>
      <c r="O77" s="15"/>
      <c r="P77" s="341"/>
    </row>
    <row r="78" spans="2:16">
      <c r="B78" s="407"/>
      <c r="C78" s="440" t="s">
        <v>15</v>
      </c>
      <c r="D78" s="98" t="s">
        <v>8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8">
        <v>0</v>
      </c>
      <c r="L78" s="17">
        <v>0</v>
      </c>
      <c r="M78" s="17">
        <v>0</v>
      </c>
      <c r="N78" s="17">
        <v>0</v>
      </c>
      <c r="O78" s="17">
        <v>0</v>
      </c>
      <c r="P78" s="339">
        <v>0</v>
      </c>
    </row>
    <row r="79" spans="2:16" ht="17.25" thickBot="1">
      <c r="B79" s="407"/>
      <c r="C79" s="441"/>
      <c r="D79" s="99" t="s">
        <v>9</v>
      </c>
      <c r="E79" s="15">
        <v>16</v>
      </c>
      <c r="F79" s="15">
        <v>22</v>
      </c>
      <c r="G79" s="15">
        <v>49</v>
      </c>
      <c r="H79" s="27">
        <v>91</v>
      </c>
      <c r="I79" s="27">
        <v>31</v>
      </c>
      <c r="J79" s="27">
        <v>12</v>
      </c>
      <c r="K79" s="28">
        <v>1</v>
      </c>
      <c r="L79" s="27">
        <v>6</v>
      </c>
      <c r="M79" s="27">
        <v>0</v>
      </c>
      <c r="N79" s="27">
        <v>2</v>
      </c>
      <c r="O79" s="27">
        <v>2</v>
      </c>
      <c r="P79" s="339">
        <v>3</v>
      </c>
    </row>
    <row r="80" spans="2:16">
      <c r="B80" s="407"/>
      <c r="C80" s="438" t="s">
        <v>36</v>
      </c>
      <c r="D80" s="102" t="s">
        <v>8</v>
      </c>
      <c r="E80" s="17">
        <v>21</v>
      </c>
      <c r="F80" s="17">
        <v>153</v>
      </c>
      <c r="G80" s="17">
        <v>66</v>
      </c>
      <c r="H80" s="17">
        <v>0</v>
      </c>
      <c r="I80" s="17">
        <v>0</v>
      </c>
      <c r="J80" s="17">
        <v>0</v>
      </c>
      <c r="K80" s="18">
        <v>0</v>
      </c>
      <c r="L80" s="17"/>
      <c r="M80" s="17"/>
      <c r="N80" s="17"/>
      <c r="O80" s="17"/>
      <c r="P80" s="340"/>
    </row>
    <row r="81" spans="2:16" ht="17.25" thickBot="1">
      <c r="B81" s="407"/>
      <c r="C81" s="439"/>
      <c r="D81" s="103" t="s">
        <v>9</v>
      </c>
      <c r="E81" s="15">
        <v>6</v>
      </c>
      <c r="F81" s="15">
        <v>21</v>
      </c>
      <c r="G81" s="15">
        <v>18</v>
      </c>
      <c r="H81" s="15">
        <v>4</v>
      </c>
      <c r="I81" s="15">
        <v>0</v>
      </c>
      <c r="J81" s="15">
        <v>0</v>
      </c>
      <c r="K81" s="16">
        <v>0</v>
      </c>
      <c r="L81" s="15"/>
      <c r="M81" s="15"/>
      <c r="N81" s="15"/>
      <c r="O81" s="15"/>
      <c r="P81" s="341"/>
    </row>
    <row r="82" spans="2:16">
      <c r="B82" s="407"/>
      <c r="C82" s="442" t="s">
        <v>49</v>
      </c>
      <c r="D82" s="81" t="s">
        <v>8</v>
      </c>
      <c r="E82" s="17">
        <v>125</v>
      </c>
      <c r="F82" s="17">
        <v>151</v>
      </c>
      <c r="G82" s="17">
        <v>319</v>
      </c>
      <c r="H82" s="17">
        <v>437</v>
      </c>
      <c r="I82" s="17">
        <v>211</v>
      </c>
      <c r="J82" s="17">
        <v>72</v>
      </c>
      <c r="K82" s="18">
        <v>2</v>
      </c>
      <c r="L82" s="17">
        <v>0</v>
      </c>
      <c r="M82" s="17">
        <v>0</v>
      </c>
      <c r="N82" s="17">
        <v>0</v>
      </c>
      <c r="O82" s="17">
        <v>0</v>
      </c>
      <c r="P82" s="339">
        <v>0</v>
      </c>
    </row>
    <row r="83" spans="2:16" ht="17.25" thickBot="1">
      <c r="B83" s="407"/>
      <c r="C83" s="443"/>
      <c r="D83" s="83" t="s">
        <v>9</v>
      </c>
      <c r="E83" s="15">
        <v>51</v>
      </c>
      <c r="F83" s="15">
        <v>82</v>
      </c>
      <c r="G83" s="15">
        <v>97</v>
      </c>
      <c r="H83" s="15">
        <v>127</v>
      </c>
      <c r="I83" s="15">
        <v>44</v>
      </c>
      <c r="J83" s="15">
        <v>28</v>
      </c>
      <c r="K83" s="16">
        <v>7</v>
      </c>
      <c r="L83" s="15">
        <v>8</v>
      </c>
      <c r="M83" s="15">
        <v>17</v>
      </c>
      <c r="N83" s="15">
        <v>14</v>
      </c>
      <c r="O83" s="15">
        <v>15</v>
      </c>
      <c r="P83" s="339">
        <v>20</v>
      </c>
    </row>
    <row r="84" spans="2:16">
      <c r="B84" s="407"/>
      <c r="C84" s="444" t="s">
        <v>50</v>
      </c>
      <c r="D84" s="106" t="s">
        <v>8</v>
      </c>
      <c r="E84" s="17">
        <v>59</v>
      </c>
      <c r="F84" s="17">
        <v>119</v>
      </c>
      <c r="G84" s="17">
        <v>151</v>
      </c>
      <c r="H84" s="25">
        <v>59</v>
      </c>
      <c r="I84" s="25">
        <v>0</v>
      </c>
      <c r="J84" s="25">
        <v>0</v>
      </c>
      <c r="K84" s="26">
        <v>0</v>
      </c>
      <c r="L84" s="25">
        <v>0</v>
      </c>
      <c r="M84" s="25">
        <v>0</v>
      </c>
      <c r="N84" s="25">
        <v>0</v>
      </c>
      <c r="O84" s="25">
        <v>0</v>
      </c>
      <c r="P84" s="339">
        <v>0</v>
      </c>
    </row>
    <row r="85" spans="2:16" ht="17.25" thickBot="1">
      <c r="B85" s="407"/>
      <c r="C85" s="422"/>
      <c r="D85" s="74" t="s">
        <v>9</v>
      </c>
      <c r="E85" s="15">
        <v>21</v>
      </c>
      <c r="F85" s="15">
        <v>55</v>
      </c>
      <c r="G85" s="15">
        <v>58</v>
      </c>
      <c r="H85" s="27">
        <v>71</v>
      </c>
      <c r="I85" s="27">
        <v>32</v>
      </c>
      <c r="J85" s="27">
        <v>21</v>
      </c>
      <c r="K85" s="28">
        <v>11</v>
      </c>
      <c r="L85" s="27">
        <v>3</v>
      </c>
      <c r="M85" s="27">
        <v>2</v>
      </c>
      <c r="N85" s="27">
        <v>5</v>
      </c>
      <c r="O85" s="27">
        <v>9</v>
      </c>
      <c r="P85" s="339">
        <v>17</v>
      </c>
    </row>
    <row r="86" spans="2:16">
      <c r="B86" s="407"/>
      <c r="C86" s="445" t="s">
        <v>51</v>
      </c>
      <c r="D86" s="88" t="s">
        <v>8</v>
      </c>
      <c r="E86" s="73"/>
      <c r="F86" s="73"/>
      <c r="G86" s="73"/>
      <c r="H86" s="25">
        <v>12</v>
      </c>
      <c r="I86" s="25">
        <v>34</v>
      </c>
      <c r="J86" s="25">
        <v>17</v>
      </c>
      <c r="K86" s="26">
        <v>4</v>
      </c>
      <c r="L86" s="25">
        <v>3</v>
      </c>
      <c r="M86" s="25">
        <v>0</v>
      </c>
      <c r="N86" s="25">
        <v>3</v>
      </c>
      <c r="O86" s="25">
        <v>14</v>
      </c>
      <c r="P86" s="339">
        <v>25</v>
      </c>
    </row>
    <row r="87" spans="2:16" ht="17.25" thickBot="1">
      <c r="B87" s="407"/>
      <c r="C87" s="446"/>
      <c r="D87" s="89" t="s">
        <v>9</v>
      </c>
      <c r="E87" s="74"/>
      <c r="F87" s="74"/>
      <c r="G87" s="74"/>
      <c r="H87" s="27">
        <v>4</v>
      </c>
      <c r="I87" s="27">
        <v>9</v>
      </c>
      <c r="J87" s="27">
        <v>3</v>
      </c>
      <c r="K87" s="28">
        <v>0</v>
      </c>
      <c r="L87" s="27">
        <v>0</v>
      </c>
      <c r="M87" s="27">
        <v>0</v>
      </c>
      <c r="N87" s="27">
        <v>0</v>
      </c>
      <c r="O87" s="27">
        <v>0</v>
      </c>
      <c r="P87" s="339">
        <v>2</v>
      </c>
    </row>
    <row r="88" spans="2:16">
      <c r="B88" s="407"/>
      <c r="C88" s="447" t="s">
        <v>52</v>
      </c>
      <c r="D88" s="107" t="s">
        <v>8</v>
      </c>
      <c r="E88" s="73"/>
      <c r="F88" s="73"/>
      <c r="G88" s="73"/>
      <c r="H88" s="25">
        <v>9</v>
      </c>
      <c r="I88" s="25">
        <v>21</v>
      </c>
      <c r="J88" s="25">
        <v>15</v>
      </c>
      <c r="K88" s="26">
        <v>3</v>
      </c>
      <c r="L88" s="25">
        <v>0</v>
      </c>
      <c r="M88" s="25">
        <v>0</v>
      </c>
      <c r="N88" s="25">
        <v>4</v>
      </c>
      <c r="O88" s="25">
        <v>6</v>
      </c>
      <c r="P88" s="339">
        <v>30</v>
      </c>
    </row>
    <row r="89" spans="2:16" ht="17.25" thickBot="1">
      <c r="B89" s="407"/>
      <c r="C89" s="448"/>
      <c r="D89" s="108" t="s">
        <v>9</v>
      </c>
      <c r="E89" s="74"/>
      <c r="F89" s="74"/>
      <c r="G89" s="74"/>
      <c r="H89" s="27">
        <v>2</v>
      </c>
      <c r="I89" s="27">
        <v>8</v>
      </c>
      <c r="J89" s="27">
        <v>4</v>
      </c>
      <c r="K89" s="28">
        <v>0</v>
      </c>
      <c r="L89" s="27">
        <v>0</v>
      </c>
      <c r="M89" s="27">
        <v>0</v>
      </c>
      <c r="N89" s="27">
        <v>0</v>
      </c>
      <c r="O89" s="27">
        <v>0</v>
      </c>
      <c r="P89" s="339">
        <v>1</v>
      </c>
    </row>
    <row r="90" spans="2:16">
      <c r="B90" s="407"/>
      <c r="C90" s="413" t="s">
        <v>53</v>
      </c>
      <c r="D90" s="92" t="s">
        <v>8</v>
      </c>
      <c r="E90" s="73"/>
      <c r="F90" s="73"/>
      <c r="G90" s="73"/>
      <c r="H90" s="25">
        <v>8</v>
      </c>
      <c r="I90" s="25">
        <v>15</v>
      </c>
      <c r="J90" s="25">
        <v>5</v>
      </c>
      <c r="K90" s="26">
        <v>1</v>
      </c>
      <c r="L90" s="25">
        <v>0</v>
      </c>
      <c r="M90" s="25">
        <v>0</v>
      </c>
      <c r="N90" s="25">
        <v>0</v>
      </c>
      <c r="O90" s="25">
        <v>4</v>
      </c>
      <c r="P90" s="339">
        <v>17</v>
      </c>
    </row>
    <row r="91" spans="2:16" ht="17.25" thickBot="1">
      <c r="B91" s="407"/>
      <c r="C91" s="397"/>
      <c r="D91" s="93" t="s">
        <v>9</v>
      </c>
      <c r="E91" s="74"/>
      <c r="F91" s="74"/>
      <c r="G91" s="74"/>
      <c r="H91" s="27">
        <v>0</v>
      </c>
      <c r="I91" s="27">
        <v>3</v>
      </c>
      <c r="J91" s="27">
        <v>3</v>
      </c>
      <c r="K91" s="28">
        <v>0</v>
      </c>
      <c r="L91" s="27">
        <v>0</v>
      </c>
      <c r="M91" s="27">
        <v>0</v>
      </c>
      <c r="N91" s="27">
        <v>0</v>
      </c>
      <c r="O91" s="27">
        <v>0</v>
      </c>
      <c r="P91" s="339">
        <v>1</v>
      </c>
    </row>
    <row r="92" spans="2:16">
      <c r="B92" s="425" t="s">
        <v>54</v>
      </c>
      <c r="C92" s="388" t="s">
        <v>55</v>
      </c>
      <c r="D92" s="51" t="s">
        <v>9</v>
      </c>
      <c r="E92" s="17">
        <v>83</v>
      </c>
      <c r="F92" s="17">
        <v>63</v>
      </c>
      <c r="G92" s="17">
        <v>92</v>
      </c>
      <c r="H92" s="25">
        <v>92</v>
      </c>
      <c r="I92" s="25">
        <v>97</v>
      </c>
      <c r="J92" s="25">
        <v>209</v>
      </c>
      <c r="K92" s="26">
        <v>310</v>
      </c>
      <c r="L92" s="25">
        <v>165</v>
      </c>
      <c r="M92" s="25">
        <v>213</v>
      </c>
      <c r="N92" s="25">
        <v>212</v>
      </c>
      <c r="O92" s="25">
        <v>92</v>
      </c>
      <c r="P92" s="339">
        <v>122</v>
      </c>
    </row>
    <row r="93" spans="2:16" ht="17.25" thickBot="1">
      <c r="B93" s="426"/>
      <c r="C93" s="390"/>
      <c r="D93" s="54" t="s">
        <v>56</v>
      </c>
      <c r="E93" s="15">
        <v>70</v>
      </c>
      <c r="F93" s="15">
        <v>45</v>
      </c>
      <c r="G93" s="15">
        <v>33</v>
      </c>
      <c r="H93" s="27">
        <v>33</v>
      </c>
      <c r="I93" s="27">
        <v>52</v>
      </c>
      <c r="J93" s="27">
        <v>72</v>
      </c>
      <c r="K93" s="28">
        <v>125</v>
      </c>
      <c r="L93" s="27">
        <v>115</v>
      </c>
      <c r="M93" s="27">
        <v>90</v>
      </c>
      <c r="N93" s="27">
        <v>84</v>
      </c>
      <c r="O93" s="27">
        <v>41</v>
      </c>
      <c r="P93" s="339">
        <v>53</v>
      </c>
    </row>
    <row r="94" spans="2:16">
      <c r="B94" s="426"/>
      <c r="C94" s="428" t="s">
        <v>18</v>
      </c>
      <c r="D94" s="69" t="s">
        <v>9</v>
      </c>
      <c r="E94" s="73"/>
      <c r="F94" s="73"/>
      <c r="G94" s="73"/>
      <c r="H94" s="25">
        <v>2</v>
      </c>
      <c r="I94" s="25">
        <v>12</v>
      </c>
      <c r="J94" s="25">
        <v>7</v>
      </c>
      <c r="K94" s="26">
        <v>13</v>
      </c>
      <c r="L94" s="25">
        <v>13</v>
      </c>
      <c r="M94" s="25">
        <v>15</v>
      </c>
      <c r="N94" s="25">
        <v>27</v>
      </c>
      <c r="O94" s="25">
        <v>8</v>
      </c>
      <c r="P94" s="339">
        <v>14</v>
      </c>
    </row>
    <row r="95" spans="2:16" ht="17.25" thickBot="1">
      <c r="B95" s="426"/>
      <c r="C95" s="429"/>
      <c r="D95" s="70" t="s">
        <v>56</v>
      </c>
      <c r="E95" s="74"/>
      <c r="F95" s="74"/>
      <c r="G95" s="74"/>
      <c r="H95" s="27">
        <v>2</v>
      </c>
      <c r="I95" s="27">
        <v>7</v>
      </c>
      <c r="J95" s="27">
        <v>10</v>
      </c>
      <c r="K95" s="28">
        <v>1</v>
      </c>
      <c r="L95" s="27">
        <v>3</v>
      </c>
      <c r="M95" s="27">
        <v>10</v>
      </c>
      <c r="N95" s="27">
        <v>13</v>
      </c>
      <c r="O95" s="27">
        <v>5</v>
      </c>
      <c r="P95" s="339">
        <v>5</v>
      </c>
    </row>
    <row r="96" spans="2:16">
      <c r="B96" s="426"/>
      <c r="C96" s="430" t="s">
        <v>24</v>
      </c>
      <c r="D96" s="77" t="s">
        <v>9</v>
      </c>
      <c r="E96" s="73"/>
      <c r="F96" s="73"/>
      <c r="G96" s="73"/>
      <c r="H96" s="25">
        <v>1</v>
      </c>
      <c r="I96" s="25">
        <v>3</v>
      </c>
      <c r="J96" s="25">
        <v>16</v>
      </c>
      <c r="K96" s="26">
        <v>1</v>
      </c>
      <c r="L96" s="25">
        <v>2</v>
      </c>
      <c r="M96" s="25">
        <v>0</v>
      </c>
      <c r="N96" s="25">
        <v>0</v>
      </c>
      <c r="O96" s="25">
        <v>12</v>
      </c>
      <c r="P96" s="339">
        <v>0</v>
      </c>
    </row>
    <row r="97" spans="2:16" ht="17.25" thickBot="1">
      <c r="B97" s="426"/>
      <c r="C97" s="431"/>
      <c r="D97" s="78" t="s">
        <v>56</v>
      </c>
      <c r="E97" s="74"/>
      <c r="F97" s="74"/>
      <c r="G97" s="74"/>
      <c r="H97" s="27">
        <v>0</v>
      </c>
      <c r="I97" s="27">
        <v>4</v>
      </c>
      <c r="J97" s="27">
        <v>9</v>
      </c>
      <c r="K97" s="28">
        <v>6</v>
      </c>
      <c r="L97" s="27">
        <v>2</v>
      </c>
      <c r="M97" s="27">
        <v>2</v>
      </c>
      <c r="N97" s="27">
        <v>0</v>
      </c>
      <c r="O97" s="27">
        <v>0</v>
      </c>
      <c r="P97" s="339">
        <v>0</v>
      </c>
    </row>
    <row r="98" spans="2:16">
      <c r="B98" s="426"/>
      <c r="C98" s="432" t="s">
        <v>23</v>
      </c>
      <c r="D98" s="75" t="s">
        <v>9</v>
      </c>
      <c r="E98" s="73"/>
      <c r="F98" s="73"/>
      <c r="G98" s="73"/>
      <c r="H98" s="25">
        <v>0</v>
      </c>
      <c r="I98" s="25">
        <v>12</v>
      </c>
      <c r="J98" s="25">
        <v>8</v>
      </c>
      <c r="K98" s="26">
        <v>1</v>
      </c>
      <c r="L98" s="25">
        <v>3</v>
      </c>
      <c r="M98" s="25">
        <v>0</v>
      </c>
      <c r="N98" s="25">
        <v>0</v>
      </c>
      <c r="O98" s="25">
        <v>12</v>
      </c>
      <c r="P98" s="339">
        <v>0</v>
      </c>
    </row>
    <row r="99" spans="2:16" ht="17.25" thickBot="1">
      <c r="B99" s="426"/>
      <c r="C99" s="433"/>
      <c r="D99" s="76" t="s">
        <v>56</v>
      </c>
      <c r="E99" s="74"/>
      <c r="F99" s="74"/>
      <c r="G99" s="74"/>
      <c r="H99" s="27">
        <v>1</v>
      </c>
      <c r="I99" s="27">
        <v>1</v>
      </c>
      <c r="J99" s="27">
        <v>8</v>
      </c>
      <c r="K99" s="28">
        <v>9</v>
      </c>
      <c r="L99" s="27">
        <v>0</v>
      </c>
      <c r="M99" s="27">
        <v>4</v>
      </c>
      <c r="N99" s="27">
        <v>0</v>
      </c>
      <c r="O99" s="27">
        <v>0</v>
      </c>
      <c r="P99" s="339">
        <v>0</v>
      </c>
    </row>
    <row r="100" spans="2:16">
      <c r="B100" s="426"/>
      <c r="C100" s="434" t="s">
        <v>25</v>
      </c>
      <c r="D100" s="51" t="s">
        <v>9</v>
      </c>
      <c r="E100" s="73"/>
      <c r="F100" s="73"/>
      <c r="G100" s="73"/>
      <c r="H100" s="25">
        <v>0</v>
      </c>
      <c r="I100" s="25">
        <v>0</v>
      </c>
      <c r="J100" s="25">
        <v>0</v>
      </c>
      <c r="K100" s="26">
        <v>22</v>
      </c>
      <c r="L100" s="25">
        <v>11</v>
      </c>
      <c r="M100" s="25">
        <v>13</v>
      </c>
      <c r="N100" s="25">
        <v>3</v>
      </c>
      <c r="O100" s="25">
        <v>10</v>
      </c>
      <c r="P100" s="339">
        <v>10</v>
      </c>
    </row>
    <row r="101" spans="2:16" ht="17.25" thickBot="1">
      <c r="B101" s="426"/>
      <c r="C101" s="435"/>
      <c r="D101" s="54" t="s">
        <v>56</v>
      </c>
      <c r="E101" s="74"/>
      <c r="F101" s="74"/>
      <c r="G101" s="74"/>
      <c r="H101" s="27">
        <v>0</v>
      </c>
      <c r="I101" s="27">
        <v>0</v>
      </c>
      <c r="J101" s="27">
        <v>0</v>
      </c>
      <c r="K101" s="28">
        <v>0</v>
      </c>
      <c r="L101" s="27">
        <v>4</v>
      </c>
      <c r="M101" s="27">
        <v>8</v>
      </c>
      <c r="N101" s="27">
        <v>0</v>
      </c>
      <c r="O101" s="27">
        <v>6</v>
      </c>
      <c r="P101" s="339">
        <v>0</v>
      </c>
    </row>
    <row r="102" spans="2:16">
      <c r="B102" s="426"/>
      <c r="C102" s="436" t="s">
        <v>57</v>
      </c>
      <c r="D102" s="171" t="s">
        <v>9</v>
      </c>
      <c r="E102" s="17">
        <v>0</v>
      </c>
      <c r="F102" s="17">
        <v>0</v>
      </c>
      <c r="G102" s="17">
        <v>0</v>
      </c>
      <c r="H102" s="25">
        <v>0</v>
      </c>
      <c r="I102" s="25">
        <v>0</v>
      </c>
      <c r="J102" s="25"/>
      <c r="K102" s="26"/>
      <c r="L102" s="25"/>
      <c r="M102" s="25"/>
      <c r="N102" s="25">
        <v>4</v>
      </c>
      <c r="O102" s="25">
        <v>0</v>
      </c>
      <c r="P102" s="339">
        <v>8</v>
      </c>
    </row>
    <row r="103" spans="2:16" ht="17.25" thickBot="1">
      <c r="B103" s="426"/>
      <c r="C103" s="399"/>
      <c r="D103" s="220" t="s">
        <v>56</v>
      </c>
      <c r="E103" s="15">
        <v>0</v>
      </c>
      <c r="F103" s="15">
        <v>0</v>
      </c>
      <c r="G103" s="15">
        <v>0</v>
      </c>
      <c r="H103" s="27">
        <v>0</v>
      </c>
      <c r="I103" s="27">
        <v>0</v>
      </c>
      <c r="J103" s="27"/>
      <c r="K103" s="28"/>
      <c r="L103" s="27"/>
      <c r="M103" s="27"/>
      <c r="N103" s="27">
        <v>0</v>
      </c>
      <c r="O103" s="27">
        <v>0</v>
      </c>
      <c r="P103" s="339">
        <v>0</v>
      </c>
    </row>
    <row r="104" spans="2:16">
      <c r="B104" s="426"/>
      <c r="C104" s="437" t="s">
        <v>58</v>
      </c>
      <c r="D104" s="221" t="s">
        <v>9</v>
      </c>
      <c r="E104" s="17">
        <v>0</v>
      </c>
      <c r="F104" s="17">
        <v>0</v>
      </c>
      <c r="G104" s="17">
        <v>0</v>
      </c>
      <c r="H104" s="25">
        <v>0</v>
      </c>
      <c r="I104" s="25">
        <v>0</v>
      </c>
      <c r="J104" s="25"/>
      <c r="K104" s="26"/>
      <c r="L104" s="25"/>
      <c r="M104" s="25"/>
      <c r="N104" s="25">
        <v>3</v>
      </c>
      <c r="O104" s="25">
        <v>0</v>
      </c>
      <c r="P104" s="339">
        <v>7</v>
      </c>
    </row>
    <row r="105" spans="2:16" ht="17.25" thickBot="1">
      <c r="B105" s="427"/>
      <c r="C105" s="400"/>
      <c r="D105" s="222" t="s">
        <v>56</v>
      </c>
      <c r="E105" s="15">
        <v>0</v>
      </c>
      <c r="F105" s="15">
        <v>0</v>
      </c>
      <c r="G105" s="15">
        <v>0</v>
      </c>
      <c r="H105" s="27">
        <v>0</v>
      </c>
      <c r="I105" s="27">
        <v>0</v>
      </c>
      <c r="J105" s="27"/>
      <c r="K105" s="28"/>
      <c r="L105" s="27"/>
      <c r="M105" s="27"/>
      <c r="N105" s="27">
        <v>12</v>
      </c>
      <c r="O105" s="27">
        <v>0</v>
      </c>
      <c r="P105" s="339">
        <v>0</v>
      </c>
    </row>
    <row r="106" spans="2:16">
      <c r="B106" s="425" t="s">
        <v>59</v>
      </c>
      <c r="C106" s="449" t="s">
        <v>60</v>
      </c>
      <c r="D106" s="88" t="s">
        <v>9</v>
      </c>
      <c r="E106" s="73"/>
      <c r="F106" s="73"/>
      <c r="G106" s="73"/>
      <c r="H106" s="25">
        <v>0</v>
      </c>
      <c r="I106" s="25">
        <v>0</v>
      </c>
      <c r="J106" s="25">
        <v>6</v>
      </c>
      <c r="K106" s="26">
        <v>10</v>
      </c>
      <c r="L106" s="25">
        <v>4</v>
      </c>
      <c r="M106" s="25">
        <v>2</v>
      </c>
      <c r="N106" s="25">
        <v>0</v>
      </c>
      <c r="O106" s="25">
        <v>0</v>
      </c>
      <c r="P106" s="339">
        <v>0</v>
      </c>
    </row>
    <row r="107" spans="2:16" ht="17.25" thickBot="1">
      <c r="B107" s="426"/>
      <c r="C107" s="450"/>
      <c r="D107" s="89" t="s">
        <v>56</v>
      </c>
      <c r="E107" s="74"/>
      <c r="F107" s="74"/>
      <c r="G107" s="74"/>
      <c r="H107" s="27">
        <v>0</v>
      </c>
      <c r="I107" s="27">
        <v>1</v>
      </c>
      <c r="J107" s="27">
        <v>1</v>
      </c>
      <c r="K107" s="28">
        <v>3</v>
      </c>
      <c r="L107" s="27">
        <v>3</v>
      </c>
      <c r="M107" s="27">
        <v>3</v>
      </c>
      <c r="N107" s="27">
        <v>3</v>
      </c>
      <c r="O107" s="27">
        <v>1</v>
      </c>
      <c r="P107" s="339">
        <v>0</v>
      </c>
    </row>
    <row r="108" spans="2:16">
      <c r="B108" s="426"/>
      <c r="C108" s="451" t="s">
        <v>61</v>
      </c>
      <c r="D108" s="109" t="s">
        <v>9</v>
      </c>
      <c r="E108" s="73"/>
      <c r="F108" s="73"/>
      <c r="G108" s="73"/>
      <c r="H108" s="25">
        <v>1</v>
      </c>
      <c r="I108" s="25">
        <v>4</v>
      </c>
      <c r="J108" s="25">
        <v>14</v>
      </c>
      <c r="K108" s="26">
        <v>4</v>
      </c>
      <c r="L108" s="25">
        <v>1</v>
      </c>
      <c r="M108" s="25">
        <v>0</v>
      </c>
      <c r="N108" s="25">
        <v>0</v>
      </c>
      <c r="O108" s="25">
        <v>0</v>
      </c>
      <c r="P108" s="339">
        <v>0</v>
      </c>
    </row>
    <row r="109" spans="2:16" ht="17.25" thickBot="1">
      <c r="B109" s="426"/>
      <c r="C109" s="452"/>
      <c r="D109" s="110" t="s">
        <v>56</v>
      </c>
      <c r="E109" s="74"/>
      <c r="F109" s="74"/>
      <c r="G109" s="74"/>
      <c r="H109" s="27">
        <v>0</v>
      </c>
      <c r="I109" s="27">
        <v>2</v>
      </c>
      <c r="J109" s="27">
        <v>5</v>
      </c>
      <c r="K109" s="28">
        <v>6</v>
      </c>
      <c r="L109" s="27">
        <v>4</v>
      </c>
      <c r="M109" s="27">
        <v>2</v>
      </c>
      <c r="N109" s="27">
        <v>4</v>
      </c>
      <c r="O109" s="27">
        <v>1</v>
      </c>
      <c r="P109" s="339">
        <v>0</v>
      </c>
    </row>
    <row r="110" spans="2:16">
      <c r="B110" s="426"/>
      <c r="C110" s="453" t="s">
        <v>62</v>
      </c>
      <c r="D110" s="92" t="s">
        <v>9</v>
      </c>
      <c r="E110" s="73"/>
      <c r="F110" s="73"/>
      <c r="G110" s="73"/>
      <c r="H110" s="25">
        <v>0</v>
      </c>
      <c r="I110" s="25">
        <v>3</v>
      </c>
      <c r="J110" s="25">
        <v>10</v>
      </c>
      <c r="K110" s="26">
        <v>8</v>
      </c>
      <c r="L110" s="25">
        <v>2</v>
      </c>
      <c r="M110" s="25">
        <v>0</v>
      </c>
      <c r="N110" s="25">
        <v>0</v>
      </c>
      <c r="O110" s="25">
        <v>0</v>
      </c>
      <c r="P110" s="339">
        <v>0</v>
      </c>
    </row>
    <row r="111" spans="2:16" ht="17.25" thickBot="1">
      <c r="B111" s="427"/>
      <c r="C111" s="454"/>
      <c r="D111" s="93" t="s">
        <v>56</v>
      </c>
      <c r="E111" s="74"/>
      <c r="F111" s="74"/>
      <c r="G111" s="74"/>
      <c r="H111" s="27">
        <v>2</v>
      </c>
      <c r="I111" s="27">
        <v>1</v>
      </c>
      <c r="J111" s="27">
        <v>3</v>
      </c>
      <c r="K111" s="28">
        <v>3</v>
      </c>
      <c r="L111" s="27">
        <v>2</v>
      </c>
      <c r="M111" s="27">
        <v>0</v>
      </c>
      <c r="N111" s="27">
        <v>9</v>
      </c>
      <c r="O111" s="27">
        <v>2</v>
      </c>
      <c r="P111" s="339">
        <v>1</v>
      </c>
    </row>
    <row r="112" spans="2:16" ht="17.25" thickBot="1">
      <c r="B112" s="425" t="s">
        <v>63</v>
      </c>
      <c r="C112" s="111" t="s">
        <v>64</v>
      </c>
      <c r="D112" s="111" t="s">
        <v>28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/>
      <c r="K112" s="24"/>
      <c r="L112" s="23"/>
      <c r="M112" s="23"/>
      <c r="N112" s="23"/>
      <c r="O112" s="23"/>
      <c r="P112" s="343"/>
    </row>
    <row r="113" spans="2:16">
      <c r="B113" s="426"/>
      <c r="C113" s="455" t="s">
        <v>15</v>
      </c>
      <c r="D113" s="112" t="s">
        <v>9</v>
      </c>
      <c r="E113" s="13">
        <v>0</v>
      </c>
      <c r="F113" s="13">
        <v>0</v>
      </c>
      <c r="G113" s="13">
        <v>0</v>
      </c>
      <c r="H113" s="25">
        <v>0</v>
      </c>
      <c r="I113" s="25">
        <v>0</v>
      </c>
      <c r="J113" s="25">
        <v>0</v>
      </c>
      <c r="K113" s="26">
        <v>0</v>
      </c>
      <c r="L113" s="25">
        <v>0</v>
      </c>
      <c r="M113" s="25">
        <v>0</v>
      </c>
      <c r="N113" s="25">
        <v>0</v>
      </c>
      <c r="O113" s="25">
        <v>0</v>
      </c>
      <c r="P113" s="339">
        <v>0</v>
      </c>
    </row>
    <row r="114" spans="2:16" ht="17.25" thickBot="1">
      <c r="B114" s="426"/>
      <c r="C114" s="441"/>
      <c r="D114" s="99" t="s">
        <v>56</v>
      </c>
      <c r="E114" s="15">
        <v>21</v>
      </c>
      <c r="F114" s="15">
        <v>21</v>
      </c>
      <c r="G114" s="15">
        <v>30</v>
      </c>
      <c r="H114" s="31">
        <v>14</v>
      </c>
      <c r="I114" s="31">
        <v>27</v>
      </c>
      <c r="J114" s="31">
        <v>16</v>
      </c>
      <c r="K114" s="32">
        <v>9</v>
      </c>
      <c r="L114" s="31">
        <v>28</v>
      </c>
      <c r="M114" s="31">
        <v>17</v>
      </c>
      <c r="N114" s="31">
        <v>18</v>
      </c>
      <c r="O114" s="31">
        <v>25</v>
      </c>
      <c r="P114" s="339">
        <v>32</v>
      </c>
    </row>
    <row r="115" spans="2:16">
      <c r="B115" s="426"/>
      <c r="C115" s="444" t="s">
        <v>50</v>
      </c>
      <c r="D115" s="106" t="s">
        <v>9</v>
      </c>
      <c r="E115" s="17">
        <v>0</v>
      </c>
      <c r="F115" s="17">
        <v>0</v>
      </c>
      <c r="G115" s="17">
        <v>0</v>
      </c>
      <c r="H115" s="25">
        <v>0</v>
      </c>
      <c r="I115" s="25">
        <v>0</v>
      </c>
      <c r="J115" s="25">
        <v>2</v>
      </c>
      <c r="K115" s="26">
        <v>0</v>
      </c>
      <c r="L115" s="25">
        <v>0</v>
      </c>
      <c r="M115" s="25">
        <v>0</v>
      </c>
      <c r="N115" s="25">
        <v>0</v>
      </c>
      <c r="O115" s="25">
        <v>0</v>
      </c>
      <c r="P115" s="339">
        <v>0</v>
      </c>
    </row>
    <row r="116" spans="2:16" ht="17.25" thickBot="1">
      <c r="B116" s="426"/>
      <c r="C116" s="422"/>
      <c r="D116" s="74" t="s">
        <v>56</v>
      </c>
      <c r="E116" s="15">
        <v>43</v>
      </c>
      <c r="F116" s="15">
        <v>51</v>
      </c>
      <c r="G116" s="15">
        <v>50</v>
      </c>
      <c r="H116" s="27">
        <v>21</v>
      </c>
      <c r="I116" s="27">
        <v>44</v>
      </c>
      <c r="J116" s="27">
        <v>35</v>
      </c>
      <c r="K116" s="28">
        <v>21</v>
      </c>
      <c r="L116" s="27">
        <v>15</v>
      </c>
      <c r="M116" s="27">
        <v>26</v>
      </c>
      <c r="N116" s="27">
        <v>22</v>
      </c>
      <c r="O116" s="27">
        <v>13</v>
      </c>
      <c r="P116" s="339">
        <v>22</v>
      </c>
    </row>
    <row r="117" spans="2:16">
      <c r="B117" s="426"/>
      <c r="C117" s="388" t="s">
        <v>55</v>
      </c>
      <c r="D117" s="51" t="s">
        <v>9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8">
        <v>0</v>
      </c>
      <c r="L117" s="17">
        <v>0</v>
      </c>
      <c r="M117" s="17">
        <v>0</v>
      </c>
      <c r="N117" s="17">
        <v>0</v>
      </c>
      <c r="O117" s="17">
        <v>0</v>
      </c>
      <c r="P117" s="339">
        <v>0</v>
      </c>
    </row>
    <row r="118" spans="2:16" ht="17.25" thickBot="1">
      <c r="B118" s="426"/>
      <c r="C118" s="389"/>
      <c r="D118" s="113" t="s">
        <v>56</v>
      </c>
      <c r="E118" s="29">
        <v>39</v>
      </c>
      <c r="F118" s="29">
        <v>18</v>
      </c>
      <c r="G118" s="29">
        <v>16</v>
      </c>
      <c r="H118" s="33">
        <v>14</v>
      </c>
      <c r="I118" s="33">
        <v>2</v>
      </c>
      <c r="J118" s="33">
        <v>3</v>
      </c>
      <c r="K118" s="34">
        <v>3</v>
      </c>
      <c r="L118" s="33">
        <v>0</v>
      </c>
      <c r="M118" s="33">
        <v>0</v>
      </c>
      <c r="N118" s="33">
        <v>0</v>
      </c>
      <c r="O118" s="33">
        <v>0</v>
      </c>
      <c r="P118" s="339">
        <v>0</v>
      </c>
    </row>
    <row r="119" spans="2:16">
      <c r="B119" s="426"/>
      <c r="C119" s="456" t="s">
        <v>36</v>
      </c>
      <c r="D119" s="105" t="s">
        <v>9</v>
      </c>
      <c r="E119" s="17">
        <v>0</v>
      </c>
      <c r="F119" s="17">
        <v>0</v>
      </c>
      <c r="G119" s="17">
        <v>0</v>
      </c>
      <c r="H119" s="25">
        <v>4</v>
      </c>
      <c r="I119" s="25">
        <v>0</v>
      </c>
      <c r="J119" s="25">
        <v>0</v>
      </c>
      <c r="K119" s="26">
        <v>0</v>
      </c>
      <c r="L119" s="25">
        <v>0</v>
      </c>
      <c r="M119" s="25">
        <v>0</v>
      </c>
      <c r="N119" s="25">
        <v>0</v>
      </c>
      <c r="O119" s="25">
        <v>0</v>
      </c>
      <c r="P119" s="339">
        <v>0</v>
      </c>
    </row>
    <row r="120" spans="2:16" ht="17.25" thickBot="1">
      <c r="B120" s="426"/>
      <c r="C120" s="457"/>
      <c r="D120" s="87" t="s">
        <v>56</v>
      </c>
      <c r="E120" s="15">
        <v>0</v>
      </c>
      <c r="F120" s="15">
        <v>0</v>
      </c>
      <c r="G120" s="15">
        <v>0</v>
      </c>
      <c r="H120" s="27">
        <v>2</v>
      </c>
      <c r="I120" s="27">
        <v>0</v>
      </c>
      <c r="J120" s="27">
        <v>0</v>
      </c>
      <c r="K120" s="28">
        <v>0</v>
      </c>
      <c r="L120" s="27">
        <v>0</v>
      </c>
      <c r="M120" s="27">
        <v>0</v>
      </c>
      <c r="N120" s="27">
        <v>0</v>
      </c>
      <c r="O120" s="27">
        <v>0</v>
      </c>
      <c r="P120" s="339">
        <v>0</v>
      </c>
    </row>
    <row r="121" spans="2:16">
      <c r="B121" s="426"/>
      <c r="C121" s="458" t="s">
        <v>65</v>
      </c>
      <c r="D121" s="67" t="s">
        <v>9</v>
      </c>
      <c r="E121" s="13">
        <v>133</v>
      </c>
      <c r="F121" s="13">
        <v>101</v>
      </c>
      <c r="G121" s="13">
        <v>96</v>
      </c>
      <c r="H121" s="25">
        <v>99</v>
      </c>
      <c r="I121" s="25">
        <v>146</v>
      </c>
      <c r="J121" s="25">
        <v>137</v>
      </c>
      <c r="K121" s="26">
        <v>71</v>
      </c>
      <c r="L121" s="25">
        <v>53</v>
      </c>
      <c r="M121" s="25">
        <v>50</v>
      </c>
      <c r="N121" s="25">
        <v>92</v>
      </c>
      <c r="O121" s="25">
        <v>87</v>
      </c>
      <c r="P121" s="339">
        <v>134</v>
      </c>
    </row>
    <row r="122" spans="2:16" ht="17.25" thickBot="1">
      <c r="B122" s="427"/>
      <c r="C122" s="422"/>
      <c r="D122" s="68" t="s">
        <v>56</v>
      </c>
      <c r="E122" s="15">
        <v>7</v>
      </c>
      <c r="F122" s="15">
        <v>0</v>
      </c>
      <c r="G122" s="15">
        <v>0</v>
      </c>
      <c r="H122" s="27">
        <v>4</v>
      </c>
      <c r="I122" s="27">
        <v>0</v>
      </c>
      <c r="J122" s="27">
        <v>0</v>
      </c>
      <c r="K122" s="28">
        <v>0</v>
      </c>
      <c r="L122" s="27">
        <v>0</v>
      </c>
      <c r="M122" s="27">
        <v>0</v>
      </c>
      <c r="N122" s="27">
        <v>0</v>
      </c>
      <c r="O122" s="27">
        <v>0</v>
      </c>
      <c r="P122" s="339">
        <v>0</v>
      </c>
    </row>
    <row r="123" spans="2:16">
      <c r="B123" s="425" t="s">
        <v>66</v>
      </c>
      <c r="C123" s="459" t="s">
        <v>46</v>
      </c>
      <c r="D123" s="115" t="s">
        <v>12</v>
      </c>
      <c r="E123" s="35"/>
      <c r="F123" s="35"/>
      <c r="G123" s="35"/>
      <c r="H123" s="36">
        <v>0</v>
      </c>
      <c r="I123" s="36">
        <v>0</v>
      </c>
      <c r="J123" s="36">
        <v>4</v>
      </c>
      <c r="K123" s="37">
        <v>16</v>
      </c>
      <c r="L123" s="36">
        <v>20</v>
      </c>
      <c r="M123" s="36">
        <v>24</v>
      </c>
      <c r="N123" s="36">
        <v>3</v>
      </c>
      <c r="O123" s="36">
        <v>1</v>
      </c>
      <c r="P123" s="339">
        <v>1</v>
      </c>
    </row>
    <row r="124" spans="2:16" ht="17.25" thickBot="1">
      <c r="B124" s="426"/>
      <c r="C124" s="460"/>
      <c r="D124" s="70" t="s">
        <v>67</v>
      </c>
      <c r="E124" s="38"/>
      <c r="F124" s="38"/>
      <c r="G124" s="38"/>
      <c r="H124" s="27">
        <v>0</v>
      </c>
      <c r="I124" s="27">
        <v>0</v>
      </c>
      <c r="J124" s="27">
        <v>1</v>
      </c>
      <c r="K124" s="28">
        <v>4</v>
      </c>
      <c r="L124" s="27">
        <v>11</v>
      </c>
      <c r="M124" s="27">
        <v>7</v>
      </c>
      <c r="N124" s="27">
        <v>11</v>
      </c>
      <c r="O124" s="27">
        <v>1</v>
      </c>
      <c r="P124" s="339">
        <v>0</v>
      </c>
    </row>
    <row r="125" spans="2:16">
      <c r="B125" s="426"/>
      <c r="C125" s="461" t="s">
        <v>68</v>
      </c>
      <c r="D125" s="116" t="s">
        <v>12</v>
      </c>
      <c r="E125" s="35"/>
      <c r="F125" s="35"/>
      <c r="G125" s="35"/>
      <c r="H125" s="36">
        <v>0</v>
      </c>
      <c r="I125" s="36">
        <v>0</v>
      </c>
      <c r="J125" s="36">
        <v>3</v>
      </c>
      <c r="K125" s="37">
        <v>17</v>
      </c>
      <c r="L125" s="36">
        <v>3</v>
      </c>
      <c r="M125" s="36">
        <v>0</v>
      </c>
      <c r="N125" s="36">
        <v>0</v>
      </c>
      <c r="O125" s="36">
        <v>0</v>
      </c>
      <c r="P125" s="339">
        <v>0</v>
      </c>
    </row>
    <row r="126" spans="2:16" ht="17.25" thickBot="1">
      <c r="B126" s="426"/>
      <c r="C126" s="462"/>
      <c r="D126" s="118" t="s">
        <v>67</v>
      </c>
      <c r="E126" s="38"/>
      <c r="F126" s="38"/>
      <c r="G126" s="38"/>
      <c r="H126" s="31">
        <v>0</v>
      </c>
      <c r="I126" s="31">
        <v>0</v>
      </c>
      <c r="J126" s="31">
        <v>1</v>
      </c>
      <c r="K126" s="32">
        <v>7</v>
      </c>
      <c r="L126" s="31">
        <v>10</v>
      </c>
      <c r="M126" s="31">
        <v>4</v>
      </c>
      <c r="N126" s="31">
        <v>0</v>
      </c>
      <c r="O126" s="31">
        <v>0</v>
      </c>
      <c r="P126" s="339">
        <v>0</v>
      </c>
    </row>
    <row r="127" spans="2:16">
      <c r="B127" s="426"/>
      <c r="C127" s="463" t="s">
        <v>69</v>
      </c>
      <c r="D127" s="73" t="s">
        <v>12</v>
      </c>
      <c r="E127" s="35">
        <v>0</v>
      </c>
      <c r="F127" s="35">
        <v>0</v>
      </c>
      <c r="G127" s="35">
        <v>1</v>
      </c>
      <c r="H127" s="25">
        <v>0</v>
      </c>
      <c r="I127" s="25">
        <v>0</v>
      </c>
      <c r="J127" s="25">
        <v>9</v>
      </c>
      <c r="K127" s="26">
        <v>7</v>
      </c>
      <c r="L127" s="25">
        <v>3</v>
      </c>
      <c r="M127" s="25">
        <v>0</v>
      </c>
      <c r="N127" s="25">
        <v>0</v>
      </c>
      <c r="O127" s="25">
        <v>0</v>
      </c>
      <c r="P127" s="339">
        <v>0</v>
      </c>
    </row>
    <row r="128" spans="2:16" ht="17.25" thickBot="1">
      <c r="B128" s="427"/>
      <c r="C128" s="464"/>
      <c r="D128" s="74" t="s">
        <v>67</v>
      </c>
      <c r="E128" s="38">
        <v>0</v>
      </c>
      <c r="F128" s="38">
        <v>0</v>
      </c>
      <c r="G128" s="38">
        <v>0</v>
      </c>
      <c r="H128" s="27">
        <v>0</v>
      </c>
      <c r="I128" s="27">
        <v>0</v>
      </c>
      <c r="J128" s="27">
        <v>4</v>
      </c>
      <c r="K128" s="28">
        <v>13</v>
      </c>
      <c r="L128" s="27">
        <v>3</v>
      </c>
      <c r="M128" s="27">
        <v>0</v>
      </c>
      <c r="N128" s="27">
        <v>0</v>
      </c>
      <c r="O128" s="27">
        <v>0</v>
      </c>
      <c r="P128" s="339">
        <v>0</v>
      </c>
    </row>
    <row r="129" spans="2:16">
      <c r="B129" s="425" t="s">
        <v>70</v>
      </c>
      <c r="C129" s="388" t="s">
        <v>71</v>
      </c>
      <c r="D129" s="51" t="s">
        <v>9</v>
      </c>
      <c r="E129" s="17">
        <v>0</v>
      </c>
      <c r="F129" s="17">
        <v>0</v>
      </c>
      <c r="G129" s="17">
        <v>0</v>
      </c>
      <c r="H129" s="25">
        <v>2</v>
      </c>
      <c r="I129" s="25">
        <v>0</v>
      </c>
      <c r="J129" s="25">
        <v>0</v>
      </c>
      <c r="K129" s="26">
        <v>0</v>
      </c>
      <c r="L129" s="25">
        <v>0</v>
      </c>
      <c r="M129" s="25">
        <v>0</v>
      </c>
      <c r="N129" s="25">
        <v>0</v>
      </c>
      <c r="O129" s="25">
        <v>0</v>
      </c>
      <c r="P129" s="339">
        <v>0</v>
      </c>
    </row>
    <row r="130" spans="2:16" ht="17.25" thickBot="1">
      <c r="B130" s="426"/>
      <c r="C130" s="390"/>
      <c r="D130" s="54" t="s">
        <v>56</v>
      </c>
      <c r="E130" s="15">
        <v>65</v>
      </c>
      <c r="F130" s="15">
        <v>74</v>
      </c>
      <c r="G130" s="15">
        <v>90</v>
      </c>
      <c r="H130" s="27">
        <v>50</v>
      </c>
      <c r="I130" s="27">
        <v>32</v>
      </c>
      <c r="J130" s="27">
        <v>18</v>
      </c>
      <c r="K130" s="28">
        <v>21</v>
      </c>
      <c r="L130" s="27">
        <v>6</v>
      </c>
      <c r="M130" s="27">
        <v>8</v>
      </c>
      <c r="N130" s="27">
        <v>16</v>
      </c>
      <c r="O130" s="27">
        <v>18</v>
      </c>
      <c r="P130" s="339">
        <v>32</v>
      </c>
    </row>
    <row r="131" spans="2:16">
      <c r="B131" s="426"/>
      <c r="C131" s="367" t="s">
        <v>27</v>
      </c>
      <c r="D131" s="81" t="s">
        <v>12</v>
      </c>
      <c r="E131" s="17">
        <v>120</v>
      </c>
      <c r="F131" s="17">
        <v>207</v>
      </c>
      <c r="G131" s="17">
        <v>265</v>
      </c>
      <c r="H131" s="25">
        <v>218</v>
      </c>
      <c r="I131" s="25">
        <v>88</v>
      </c>
      <c r="J131" s="25">
        <v>31</v>
      </c>
      <c r="K131" s="26">
        <v>15</v>
      </c>
      <c r="L131" s="25">
        <v>9</v>
      </c>
      <c r="M131" s="25">
        <v>2</v>
      </c>
      <c r="N131" s="25">
        <v>3</v>
      </c>
      <c r="O131" s="25">
        <v>2</v>
      </c>
      <c r="P131" s="339">
        <v>5</v>
      </c>
    </row>
    <row r="132" spans="2:16" ht="17.25" thickBot="1">
      <c r="B132" s="426"/>
      <c r="C132" s="368"/>
      <c r="D132" s="83" t="s">
        <v>72</v>
      </c>
      <c r="E132" s="15">
        <v>0</v>
      </c>
      <c r="F132" s="15">
        <v>0</v>
      </c>
      <c r="G132" s="15">
        <v>0</v>
      </c>
      <c r="H132" s="27">
        <v>3</v>
      </c>
      <c r="I132" s="27">
        <v>0</v>
      </c>
      <c r="J132" s="27">
        <v>0</v>
      </c>
      <c r="K132" s="28">
        <v>0</v>
      </c>
      <c r="L132" s="27">
        <v>0</v>
      </c>
      <c r="M132" s="27">
        <v>0</v>
      </c>
      <c r="N132" s="27">
        <v>0</v>
      </c>
      <c r="O132" s="27">
        <v>0</v>
      </c>
      <c r="P132" s="339">
        <v>0</v>
      </c>
    </row>
    <row r="133" spans="2:16">
      <c r="B133" s="426"/>
      <c r="C133" s="449" t="s">
        <v>51</v>
      </c>
      <c r="D133" s="119" t="s">
        <v>12</v>
      </c>
      <c r="E133" s="114"/>
      <c r="F133" s="114"/>
      <c r="G133" s="114"/>
      <c r="H133" s="36">
        <v>4</v>
      </c>
      <c r="I133" s="36">
        <v>17</v>
      </c>
      <c r="J133" s="36">
        <v>6</v>
      </c>
      <c r="K133" s="37">
        <v>0</v>
      </c>
      <c r="L133" s="36">
        <v>3</v>
      </c>
      <c r="M133" s="36">
        <v>0</v>
      </c>
      <c r="N133" s="36">
        <v>1</v>
      </c>
      <c r="O133" s="36">
        <v>1</v>
      </c>
      <c r="P133" s="339">
        <v>9</v>
      </c>
    </row>
    <row r="134" spans="2:16" ht="17.25" thickBot="1">
      <c r="B134" s="426"/>
      <c r="C134" s="450"/>
      <c r="D134" s="89" t="s">
        <v>67</v>
      </c>
      <c r="E134" s="74"/>
      <c r="F134" s="74"/>
      <c r="G134" s="74"/>
      <c r="H134" s="27">
        <v>6</v>
      </c>
      <c r="I134" s="27">
        <v>10</v>
      </c>
      <c r="J134" s="27">
        <v>1</v>
      </c>
      <c r="K134" s="28">
        <v>1</v>
      </c>
      <c r="L134" s="27">
        <v>1</v>
      </c>
      <c r="M134" s="27">
        <v>0</v>
      </c>
      <c r="N134" s="27">
        <v>0</v>
      </c>
      <c r="O134" s="27">
        <v>2</v>
      </c>
      <c r="P134" s="339">
        <v>1</v>
      </c>
    </row>
    <row r="135" spans="2:16">
      <c r="B135" s="426"/>
      <c r="C135" s="465" t="s">
        <v>52</v>
      </c>
      <c r="D135" s="120" t="s">
        <v>12</v>
      </c>
      <c r="E135" s="114"/>
      <c r="F135" s="114"/>
      <c r="G135" s="114"/>
      <c r="H135" s="36">
        <v>4</v>
      </c>
      <c r="I135" s="36">
        <v>13</v>
      </c>
      <c r="J135" s="36">
        <v>5</v>
      </c>
      <c r="K135" s="37">
        <v>1</v>
      </c>
      <c r="L135" s="36">
        <v>1</v>
      </c>
      <c r="M135" s="36">
        <v>0</v>
      </c>
      <c r="N135" s="36">
        <v>0</v>
      </c>
      <c r="O135" s="36">
        <v>0</v>
      </c>
      <c r="P135" s="339">
        <v>6</v>
      </c>
    </row>
    <row r="136" spans="2:16" ht="17.25" thickBot="1">
      <c r="B136" s="426"/>
      <c r="C136" s="466"/>
      <c r="D136" s="108" t="s">
        <v>67</v>
      </c>
      <c r="E136" s="74"/>
      <c r="F136" s="74"/>
      <c r="G136" s="74"/>
      <c r="H136" s="27">
        <v>3</v>
      </c>
      <c r="I136" s="27">
        <v>9</v>
      </c>
      <c r="J136" s="27">
        <v>1</v>
      </c>
      <c r="K136" s="28">
        <v>1</v>
      </c>
      <c r="L136" s="27">
        <v>0</v>
      </c>
      <c r="M136" s="27">
        <v>0</v>
      </c>
      <c r="N136" s="27">
        <v>0</v>
      </c>
      <c r="O136" s="27">
        <v>0</v>
      </c>
      <c r="P136" s="339">
        <v>1</v>
      </c>
    </row>
    <row r="137" spans="2:16">
      <c r="B137" s="426"/>
      <c r="C137" s="453" t="s">
        <v>53</v>
      </c>
      <c r="D137" s="121" t="s">
        <v>12</v>
      </c>
      <c r="E137" s="114"/>
      <c r="F137" s="114"/>
      <c r="G137" s="114"/>
      <c r="H137" s="36">
        <v>3</v>
      </c>
      <c r="I137" s="36">
        <v>8</v>
      </c>
      <c r="J137" s="36">
        <v>1</v>
      </c>
      <c r="K137" s="37">
        <v>2</v>
      </c>
      <c r="L137" s="36">
        <v>1</v>
      </c>
      <c r="M137" s="36">
        <v>0</v>
      </c>
      <c r="N137" s="36">
        <v>0</v>
      </c>
      <c r="O137" s="36">
        <v>1</v>
      </c>
      <c r="P137" s="339">
        <v>7</v>
      </c>
    </row>
    <row r="138" spans="2:16" ht="17.25" thickBot="1">
      <c r="B138" s="426"/>
      <c r="C138" s="454"/>
      <c r="D138" s="93" t="s">
        <v>67</v>
      </c>
      <c r="E138" s="74"/>
      <c r="F138" s="74"/>
      <c r="G138" s="74"/>
      <c r="H138" s="27">
        <v>2</v>
      </c>
      <c r="I138" s="27">
        <v>6</v>
      </c>
      <c r="J138" s="27">
        <v>1</v>
      </c>
      <c r="K138" s="28">
        <v>1</v>
      </c>
      <c r="L138" s="27">
        <v>0</v>
      </c>
      <c r="M138" s="27">
        <v>0</v>
      </c>
      <c r="N138" s="27">
        <v>0</v>
      </c>
      <c r="O138" s="27">
        <v>0</v>
      </c>
      <c r="P138" s="339">
        <v>3</v>
      </c>
    </row>
    <row r="139" spans="2:16">
      <c r="B139" s="426"/>
      <c r="C139" s="438" t="s">
        <v>36</v>
      </c>
      <c r="D139" s="102" t="s">
        <v>9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/>
      <c r="K139" s="18"/>
      <c r="L139" s="17"/>
      <c r="M139" s="17"/>
      <c r="N139" s="17"/>
      <c r="O139" s="17"/>
      <c r="P139" s="340"/>
    </row>
    <row r="140" spans="2:16" ht="17.25" thickBot="1">
      <c r="B140" s="426"/>
      <c r="C140" s="439"/>
      <c r="D140" s="103" t="s">
        <v>56</v>
      </c>
      <c r="E140" s="39">
        <v>0</v>
      </c>
      <c r="F140" s="39">
        <v>0</v>
      </c>
      <c r="G140" s="39">
        <v>0</v>
      </c>
      <c r="H140" s="39">
        <v>0</v>
      </c>
      <c r="I140" s="39">
        <v>0</v>
      </c>
      <c r="J140" s="39"/>
      <c r="K140" s="40"/>
      <c r="L140" s="39"/>
      <c r="M140" s="39"/>
      <c r="N140" s="39"/>
      <c r="O140" s="39"/>
      <c r="P140" s="344"/>
    </row>
    <row r="141" spans="2:16">
      <c r="B141" s="426"/>
      <c r="C141" s="393" t="s">
        <v>30</v>
      </c>
      <c r="D141" s="104" t="s">
        <v>9</v>
      </c>
      <c r="E141" s="17">
        <v>0</v>
      </c>
      <c r="F141" s="17">
        <v>0</v>
      </c>
      <c r="G141" s="17">
        <v>0</v>
      </c>
      <c r="H141" s="29">
        <v>0</v>
      </c>
      <c r="I141" s="29">
        <v>0</v>
      </c>
      <c r="J141" s="29"/>
      <c r="K141" s="30"/>
      <c r="L141" s="29"/>
      <c r="M141" s="29"/>
      <c r="N141" s="29"/>
      <c r="O141" s="29"/>
      <c r="P141" s="345"/>
    </row>
    <row r="142" spans="2:16" ht="17.25" thickBot="1">
      <c r="B142" s="427"/>
      <c r="C142" s="394"/>
      <c r="D142" s="103" t="s">
        <v>56</v>
      </c>
      <c r="E142" s="15">
        <v>0</v>
      </c>
      <c r="F142" s="15">
        <v>0</v>
      </c>
      <c r="G142" s="39">
        <v>0</v>
      </c>
      <c r="H142" s="15">
        <v>0</v>
      </c>
      <c r="I142" s="15">
        <v>0</v>
      </c>
      <c r="J142" s="15"/>
      <c r="K142" s="16"/>
      <c r="L142" s="15"/>
      <c r="M142" s="15"/>
      <c r="N142" s="15"/>
      <c r="O142" s="15"/>
      <c r="P142" s="341"/>
    </row>
    <row r="143" spans="2:16" ht="17.25" thickBot="1">
      <c r="B143" s="477" t="s">
        <v>73</v>
      </c>
      <c r="C143" s="52" t="s">
        <v>29</v>
      </c>
      <c r="D143" s="52" t="s">
        <v>74</v>
      </c>
      <c r="E143" s="39">
        <v>6</v>
      </c>
      <c r="F143" s="39">
        <v>4</v>
      </c>
      <c r="G143" s="39">
        <v>3</v>
      </c>
      <c r="H143" s="25">
        <v>4</v>
      </c>
      <c r="I143" s="25">
        <v>4</v>
      </c>
      <c r="J143" s="25">
        <v>1</v>
      </c>
      <c r="K143" s="26">
        <v>0</v>
      </c>
      <c r="L143" s="25">
        <v>2</v>
      </c>
      <c r="M143" s="25">
        <v>1</v>
      </c>
      <c r="N143" s="25">
        <v>4</v>
      </c>
      <c r="O143" s="25">
        <v>0</v>
      </c>
      <c r="P143" s="346">
        <v>5</v>
      </c>
    </row>
    <row r="144" spans="2:16" ht="17.25" thickBot="1">
      <c r="B144" s="477"/>
      <c r="C144" s="55" t="s">
        <v>14</v>
      </c>
      <c r="D144" s="55" t="s">
        <v>74</v>
      </c>
      <c r="E144" s="23">
        <v>3</v>
      </c>
      <c r="F144" s="23">
        <v>2</v>
      </c>
      <c r="G144" s="23">
        <v>3</v>
      </c>
      <c r="H144" s="41">
        <v>2</v>
      </c>
      <c r="I144" s="41">
        <v>5</v>
      </c>
      <c r="J144" s="41">
        <v>2</v>
      </c>
      <c r="K144" s="42">
        <v>6</v>
      </c>
      <c r="L144" s="41">
        <v>0</v>
      </c>
      <c r="M144" s="41">
        <v>0</v>
      </c>
      <c r="N144" s="41">
        <v>1</v>
      </c>
      <c r="O144" s="41">
        <v>1</v>
      </c>
      <c r="P144" s="347">
        <v>3</v>
      </c>
    </row>
    <row r="145" spans="2:16" ht="17.25" thickBot="1">
      <c r="B145" s="477"/>
      <c r="C145" s="122" t="s">
        <v>75</v>
      </c>
      <c r="D145" s="122" t="s">
        <v>74</v>
      </c>
      <c r="E145" s="15">
        <v>6</v>
      </c>
      <c r="F145" s="15">
        <v>2</v>
      </c>
      <c r="G145" s="15">
        <v>1</v>
      </c>
      <c r="H145" s="27">
        <v>2</v>
      </c>
      <c r="I145" s="27">
        <v>4</v>
      </c>
      <c r="J145" s="27">
        <v>1</v>
      </c>
      <c r="K145" s="28">
        <v>1</v>
      </c>
      <c r="L145" s="27">
        <v>2</v>
      </c>
      <c r="M145" s="27">
        <v>1</v>
      </c>
      <c r="N145" s="27">
        <v>2</v>
      </c>
      <c r="O145" s="27">
        <v>2</v>
      </c>
      <c r="P145" s="348">
        <v>2</v>
      </c>
    </row>
    <row r="146" spans="2:16" ht="33.75" thickBot="1">
      <c r="B146" s="123" t="s">
        <v>76</v>
      </c>
      <c r="C146" s="124" t="s">
        <v>77</v>
      </c>
      <c r="D146" s="125" t="s">
        <v>78</v>
      </c>
      <c r="E146" s="23"/>
      <c r="F146" s="23"/>
      <c r="G146" s="23"/>
      <c r="H146" s="43">
        <v>2</v>
      </c>
      <c r="I146" s="43">
        <v>0</v>
      </c>
      <c r="J146" s="43"/>
      <c r="K146" s="44">
        <v>1</v>
      </c>
      <c r="L146" s="43">
        <v>0</v>
      </c>
      <c r="M146" s="43"/>
      <c r="N146" s="43"/>
      <c r="O146" s="43"/>
      <c r="P146" s="349">
        <v>1</v>
      </c>
    </row>
    <row r="147" spans="2:16" ht="33.75" thickBot="1">
      <c r="B147" s="478" t="s">
        <v>79</v>
      </c>
      <c r="C147" s="126" t="s">
        <v>24</v>
      </c>
      <c r="D147" s="127" t="s">
        <v>78</v>
      </c>
      <c r="E147" s="23"/>
      <c r="F147" s="23"/>
      <c r="G147" s="23"/>
      <c r="H147" s="43">
        <v>0</v>
      </c>
      <c r="I147" s="43">
        <v>0</v>
      </c>
      <c r="J147" s="43">
        <v>2</v>
      </c>
      <c r="K147" s="44">
        <v>6</v>
      </c>
      <c r="L147" s="43">
        <v>6</v>
      </c>
      <c r="M147" s="43">
        <v>0</v>
      </c>
      <c r="N147" s="43"/>
      <c r="O147" s="43">
        <v>1</v>
      </c>
      <c r="P147" s="349">
        <v>3</v>
      </c>
    </row>
    <row r="148" spans="2:16" ht="33.75" thickBot="1">
      <c r="B148" s="479"/>
      <c r="C148" s="128" t="s">
        <v>23</v>
      </c>
      <c r="D148" s="129" t="s">
        <v>78</v>
      </c>
      <c r="E148" s="23"/>
      <c r="F148" s="23"/>
      <c r="G148" s="23"/>
      <c r="H148" s="43">
        <v>2</v>
      </c>
      <c r="I148" s="43">
        <v>2</v>
      </c>
      <c r="J148" s="43">
        <v>0</v>
      </c>
      <c r="K148" s="44">
        <v>2</v>
      </c>
      <c r="L148" s="43">
        <v>2</v>
      </c>
      <c r="M148" s="43">
        <v>2</v>
      </c>
      <c r="N148" s="43"/>
      <c r="O148" s="43">
        <v>0</v>
      </c>
      <c r="P148" s="349">
        <v>1</v>
      </c>
    </row>
    <row r="149" spans="2:16" ht="33.75" thickBot="1">
      <c r="B149" s="480"/>
      <c r="C149" s="130" t="s">
        <v>80</v>
      </c>
      <c r="D149" s="131" t="s">
        <v>78</v>
      </c>
      <c r="E149" s="23"/>
      <c r="F149" s="23"/>
      <c r="G149" s="23"/>
      <c r="H149" s="43">
        <v>0</v>
      </c>
      <c r="I149" s="43">
        <v>0</v>
      </c>
      <c r="J149" s="43">
        <v>0</v>
      </c>
      <c r="K149" s="44">
        <v>0</v>
      </c>
      <c r="L149" s="43">
        <v>0</v>
      </c>
      <c r="M149" s="43">
        <v>0</v>
      </c>
      <c r="N149" s="43"/>
      <c r="O149" s="43">
        <v>0</v>
      </c>
      <c r="P149" s="349">
        <v>0</v>
      </c>
    </row>
    <row r="150" spans="2:16" ht="33.75" thickBot="1">
      <c r="B150" s="478" t="s">
        <v>81</v>
      </c>
      <c r="C150" s="132" t="s">
        <v>46</v>
      </c>
      <c r="D150" s="133" t="s">
        <v>78</v>
      </c>
      <c r="E150" s="23"/>
      <c r="F150" s="23"/>
      <c r="G150" s="23"/>
      <c r="H150" s="43">
        <v>0</v>
      </c>
      <c r="I150" s="43">
        <v>0</v>
      </c>
      <c r="J150" s="43"/>
      <c r="K150" s="44">
        <v>5</v>
      </c>
      <c r="L150" s="43">
        <v>2</v>
      </c>
      <c r="M150" s="43">
        <v>1</v>
      </c>
      <c r="N150" s="43"/>
      <c r="O150" s="43">
        <v>1</v>
      </c>
      <c r="P150" s="349">
        <v>0</v>
      </c>
    </row>
    <row r="151" spans="2:16" ht="33.75" thickBot="1">
      <c r="B151" s="480"/>
      <c r="C151" s="134" t="s">
        <v>68</v>
      </c>
      <c r="D151" s="135" t="s">
        <v>78</v>
      </c>
      <c r="E151" s="23"/>
      <c r="F151" s="23"/>
      <c r="G151" s="23"/>
      <c r="H151" s="43">
        <v>0</v>
      </c>
      <c r="I151" s="43">
        <v>0</v>
      </c>
      <c r="J151" s="43"/>
      <c r="K151" s="44">
        <v>1</v>
      </c>
      <c r="L151" s="43"/>
      <c r="M151" s="43">
        <v>2</v>
      </c>
      <c r="N151" s="43">
        <v>1</v>
      </c>
      <c r="O151" s="43">
        <v>0</v>
      </c>
      <c r="P151" s="349">
        <v>0</v>
      </c>
    </row>
    <row r="152" spans="2:16" ht="33.75" thickBot="1">
      <c r="B152" s="136" t="s">
        <v>82</v>
      </c>
      <c r="C152" s="124" t="s">
        <v>77</v>
      </c>
      <c r="D152" s="125" t="s">
        <v>78</v>
      </c>
      <c r="E152" s="23"/>
      <c r="F152" s="23"/>
      <c r="G152" s="23"/>
      <c r="H152" s="43">
        <v>0</v>
      </c>
      <c r="I152" s="43">
        <v>4</v>
      </c>
      <c r="J152" s="43">
        <v>3</v>
      </c>
      <c r="K152" s="44">
        <v>0</v>
      </c>
      <c r="L152" s="43">
        <v>0</v>
      </c>
      <c r="M152" s="43"/>
      <c r="N152" s="43"/>
      <c r="O152" s="43"/>
      <c r="P152" s="349">
        <v>0</v>
      </c>
    </row>
    <row r="153" spans="2:16" ht="33.75" thickBot="1">
      <c r="B153" s="481" t="s">
        <v>83</v>
      </c>
      <c r="C153" s="137" t="s">
        <v>84</v>
      </c>
      <c r="D153" s="127" t="s">
        <v>78</v>
      </c>
      <c r="E153" s="23"/>
      <c r="F153" s="23"/>
      <c r="G153" s="23"/>
      <c r="H153" s="43">
        <v>0</v>
      </c>
      <c r="I153" s="43">
        <v>0</v>
      </c>
      <c r="J153" s="43"/>
      <c r="K153" s="44">
        <v>2</v>
      </c>
      <c r="L153" s="43">
        <v>0</v>
      </c>
      <c r="M153" s="43"/>
      <c r="N153" s="43"/>
      <c r="O153" s="43"/>
      <c r="P153" s="349">
        <v>0</v>
      </c>
    </row>
    <row r="154" spans="2:16" ht="33.75" thickBot="1">
      <c r="B154" s="482"/>
      <c r="C154" s="138" t="s">
        <v>85</v>
      </c>
      <c r="D154" s="129" t="s">
        <v>78</v>
      </c>
      <c r="E154" s="23"/>
      <c r="F154" s="23"/>
      <c r="G154" s="23"/>
      <c r="H154" s="43">
        <v>0</v>
      </c>
      <c r="I154" s="43">
        <v>0</v>
      </c>
      <c r="J154" s="43"/>
      <c r="K154" s="44">
        <v>0</v>
      </c>
      <c r="L154" s="43">
        <v>0</v>
      </c>
      <c r="M154" s="43"/>
      <c r="N154" s="43"/>
      <c r="O154" s="43"/>
      <c r="P154" s="349">
        <v>0</v>
      </c>
    </row>
    <row r="155" spans="2:16" ht="33.75" thickBot="1">
      <c r="B155" s="483"/>
      <c r="C155" s="139" t="s">
        <v>86</v>
      </c>
      <c r="D155" s="131" t="s">
        <v>78</v>
      </c>
      <c r="E155" s="23"/>
      <c r="F155" s="23"/>
      <c r="G155" s="23"/>
      <c r="H155" s="43">
        <v>0</v>
      </c>
      <c r="I155" s="43">
        <v>0</v>
      </c>
      <c r="J155" s="43"/>
      <c r="K155" s="44">
        <v>0</v>
      </c>
      <c r="L155" s="43">
        <v>0</v>
      </c>
      <c r="M155" s="43"/>
      <c r="N155" s="43"/>
      <c r="O155" s="43"/>
      <c r="P155" s="349">
        <v>0</v>
      </c>
    </row>
    <row r="156" spans="2:16" ht="33.75" thickBot="1">
      <c r="B156" s="467" t="s">
        <v>87</v>
      </c>
      <c r="C156" s="132" t="s">
        <v>46</v>
      </c>
      <c r="D156" s="133" t="s">
        <v>78</v>
      </c>
      <c r="E156" s="23"/>
      <c r="F156" s="23"/>
      <c r="G156" s="23"/>
      <c r="H156" s="43">
        <v>0</v>
      </c>
      <c r="I156" s="43">
        <v>0</v>
      </c>
      <c r="J156" s="43"/>
      <c r="K156" s="44">
        <v>0</v>
      </c>
      <c r="L156" s="43">
        <v>0</v>
      </c>
      <c r="M156" s="43"/>
      <c r="N156" s="43"/>
      <c r="O156" s="43"/>
      <c r="P156" s="349">
        <v>0</v>
      </c>
    </row>
    <row r="157" spans="2:16" ht="33.75" thickBot="1">
      <c r="B157" s="468"/>
      <c r="C157" s="117" t="s">
        <v>68</v>
      </c>
      <c r="D157" s="140" t="s">
        <v>78</v>
      </c>
      <c r="E157" s="23"/>
      <c r="F157" s="23"/>
      <c r="G157" s="23"/>
      <c r="H157" s="45">
        <v>0</v>
      </c>
      <c r="I157" s="45">
        <v>0</v>
      </c>
      <c r="J157" s="45"/>
      <c r="K157" s="46">
        <v>0</v>
      </c>
      <c r="L157" s="45">
        <v>0</v>
      </c>
      <c r="M157" s="45"/>
      <c r="N157" s="45"/>
      <c r="O157" s="45"/>
      <c r="P157" s="350">
        <v>0</v>
      </c>
    </row>
    <row r="158" spans="2:16" ht="17.25" thickBot="1">
      <c r="B158" s="469" t="s">
        <v>88</v>
      </c>
      <c r="C158" s="458" t="s">
        <v>50</v>
      </c>
      <c r="D158" s="73" t="s">
        <v>89</v>
      </c>
      <c r="E158" s="13">
        <v>0</v>
      </c>
      <c r="F158" s="13">
        <v>0</v>
      </c>
      <c r="G158" s="13">
        <v>0</v>
      </c>
      <c r="H158" s="45">
        <v>0</v>
      </c>
      <c r="I158" s="45">
        <v>0</v>
      </c>
      <c r="J158" s="45"/>
      <c r="K158" s="46">
        <v>0</v>
      </c>
      <c r="L158" s="45">
        <v>0</v>
      </c>
      <c r="M158" s="45"/>
      <c r="N158" s="45"/>
      <c r="O158" s="45"/>
      <c r="P158" s="350">
        <v>0</v>
      </c>
    </row>
    <row r="159" spans="2:16" ht="17.25" thickBot="1">
      <c r="B159" s="470"/>
      <c r="C159" s="422"/>
      <c r="D159" s="96" t="s">
        <v>74</v>
      </c>
      <c r="E159" s="15">
        <v>0</v>
      </c>
      <c r="F159" s="15">
        <v>0</v>
      </c>
      <c r="G159" s="15">
        <v>0</v>
      </c>
      <c r="H159" s="45">
        <v>0</v>
      </c>
      <c r="I159" s="45">
        <v>0</v>
      </c>
      <c r="J159" s="45"/>
      <c r="K159" s="46">
        <v>0</v>
      </c>
      <c r="L159" s="45">
        <v>0</v>
      </c>
      <c r="M159" s="45"/>
      <c r="N159" s="45"/>
      <c r="O159" s="45"/>
      <c r="P159" s="350">
        <v>0</v>
      </c>
    </row>
    <row r="160" spans="2:16" ht="17.25" thickBot="1">
      <c r="B160" s="469" t="s">
        <v>90</v>
      </c>
      <c r="C160" s="458" t="s">
        <v>50</v>
      </c>
      <c r="D160" s="96" t="s">
        <v>74</v>
      </c>
      <c r="E160" s="13">
        <v>0</v>
      </c>
      <c r="F160" s="13">
        <v>0</v>
      </c>
      <c r="G160" s="13">
        <v>0</v>
      </c>
      <c r="H160" s="45">
        <v>0</v>
      </c>
      <c r="I160" s="45">
        <v>0</v>
      </c>
      <c r="J160" s="45">
        <v>2</v>
      </c>
      <c r="K160" s="46">
        <v>0</v>
      </c>
      <c r="L160" s="45">
        <v>0</v>
      </c>
      <c r="M160" s="45"/>
      <c r="N160" s="45"/>
      <c r="O160" s="45"/>
      <c r="P160" s="350">
        <v>0</v>
      </c>
    </row>
    <row r="161" spans="2:16" ht="17.25" thickBot="1">
      <c r="B161" s="470"/>
      <c r="C161" s="422"/>
      <c r="D161" s="96" t="s">
        <v>91</v>
      </c>
      <c r="E161" s="15">
        <v>0</v>
      </c>
      <c r="F161" s="15">
        <v>0</v>
      </c>
      <c r="G161" s="15">
        <v>0</v>
      </c>
      <c r="H161" s="45">
        <v>0</v>
      </c>
      <c r="I161" s="45">
        <v>0</v>
      </c>
      <c r="J161" s="45">
        <v>0</v>
      </c>
      <c r="K161" s="46">
        <v>0</v>
      </c>
      <c r="L161" s="45">
        <v>0</v>
      </c>
      <c r="M161" s="45"/>
      <c r="N161" s="45"/>
      <c r="O161" s="45"/>
      <c r="P161" s="350">
        <v>0</v>
      </c>
    </row>
    <row r="162" spans="2:16" ht="17.25" thickBot="1">
      <c r="B162" s="141" t="s">
        <v>92</v>
      </c>
      <c r="C162" s="96" t="s">
        <v>93</v>
      </c>
      <c r="D162" s="96" t="s">
        <v>94</v>
      </c>
      <c r="E162" s="39"/>
      <c r="F162" s="39"/>
      <c r="G162" s="39"/>
      <c r="H162" s="45"/>
      <c r="I162" s="45">
        <v>1</v>
      </c>
      <c r="J162" s="45"/>
      <c r="K162" s="46">
        <v>0</v>
      </c>
      <c r="L162" s="45">
        <v>1</v>
      </c>
      <c r="M162" s="45"/>
      <c r="N162" s="45">
        <v>1</v>
      </c>
      <c r="O162" s="45"/>
      <c r="P162" s="350">
        <v>0</v>
      </c>
    </row>
    <row r="163" spans="2:16" ht="24.75" thickBot="1">
      <c r="B163" s="142" t="s">
        <v>95</v>
      </c>
      <c r="C163" s="143" t="s">
        <v>93</v>
      </c>
      <c r="D163" s="143" t="s">
        <v>9</v>
      </c>
      <c r="E163" s="23">
        <v>0</v>
      </c>
      <c r="F163" s="23">
        <v>0</v>
      </c>
      <c r="G163" s="23">
        <v>0</v>
      </c>
      <c r="H163" s="45">
        <v>0</v>
      </c>
      <c r="I163" s="45">
        <v>0</v>
      </c>
      <c r="J163" s="45"/>
      <c r="K163" s="46">
        <v>0</v>
      </c>
      <c r="L163" s="45">
        <v>1</v>
      </c>
      <c r="M163" s="45"/>
      <c r="N163" s="45"/>
      <c r="O163" s="45"/>
      <c r="P163" s="350">
        <v>0</v>
      </c>
    </row>
    <row r="164" spans="2:16" ht="24.75" thickBot="1">
      <c r="B164" s="144" t="s">
        <v>96</v>
      </c>
      <c r="C164" s="96" t="s">
        <v>93</v>
      </c>
      <c r="D164" s="96" t="s">
        <v>9</v>
      </c>
      <c r="E164" s="29">
        <v>0</v>
      </c>
      <c r="F164" s="29">
        <v>0</v>
      </c>
      <c r="G164" s="29">
        <v>0</v>
      </c>
      <c r="H164" s="45">
        <v>0</v>
      </c>
      <c r="I164" s="45">
        <v>0</v>
      </c>
      <c r="J164" s="45"/>
      <c r="K164" s="46">
        <v>0</v>
      </c>
      <c r="L164" s="45"/>
      <c r="M164" s="45"/>
      <c r="N164" s="45"/>
      <c r="O164" s="45"/>
      <c r="P164" s="350">
        <v>0</v>
      </c>
    </row>
    <row r="165" spans="2:16">
      <c r="B165" s="471" t="s">
        <v>97</v>
      </c>
      <c r="C165" s="472"/>
      <c r="D165" s="473"/>
      <c r="E165" s="351">
        <f t="shared" ref="E165" si="0">SUM(E5:E164)</f>
        <v>2354</v>
      </c>
      <c r="F165" s="351">
        <f t="shared" ref="F165:K165" si="1">SUM(F5:F164)</f>
        <v>2529</v>
      </c>
      <c r="G165" s="351">
        <f t="shared" si="1"/>
        <v>3348</v>
      </c>
      <c r="H165" s="351">
        <f t="shared" si="1"/>
        <v>2325</v>
      </c>
      <c r="I165" s="351">
        <f t="shared" si="1"/>
        <v>2160</v>
      </c>
      <c r="J165" s="351">
        <f t="shared" si="1"/>
        <v>2612</v>
      </c>
      <c r="K165" s="351">
        <f t="shared" si="1"/>
        <v>4007</v>
      </c>
      <c r="L165" s="351">
        <f>SUM(L5:L164)</f>
        <v>2180</v>
      </c>
      <c r="M165" s="351">
        <f>SUM(M5:M164)</f>
        <v>2433</v>
      </c>
      <c r="N165" s="351">
        <f>SUM(N5:N164)</f>
        <v>2863</v>
      </c>
      <c r="O165" s="351">
        <f>SUM(O5:O164)</f>
        <v>1711</v>
      </c>
      <c r="P165" s="351">
        <f>SUM(P5:P164)</f>
        <v>1392</v>
      </c>
    </row>
    <row r="166" spans="2:16" ht="17.25" thickBot="1">
      <c r="B166" s="474"/>
      <c r="C166" s="475"/>
      <c r="D166" s="476"/>
      <c r="E166" s="352"/>
      <c r="F166" s="352"/>
      <c r="G166" s="352"/>
      <c r="H166" s="352"/>
      <c r="I166" s="352"/>
      <c r="J166" s="352"/>
      <c r="K166" s="352"/>
      <c r="L166" s="352"/>
      <c r="M166" s="352"/>
      <c r="N166" s="352"/>
      <c r="O166" s="352"/>
      <c r="P166" s="352"/>
    </row>
  </sheetData>
  <mergeCells count="104">
    <mergeCell ref="O165:O166"/>
    <mergeCell ref="I165:I166"/>
    <mergeCell ref="E165:E166"/>
    <mergeCell ref="F165:F166"/>
    <mergeCell ref="G165:G166"/>
    <mergeCell ref="H165:H166"/>
    <mergeCell ref="N165:N166"/>
    <mergeCell ref="M165:M166"/>
    <mergeCell ref="L165:L166"/>
    <mergeCell ref="K165:K166"/>
    <mergeCell ref="B156:B157"/>
    <mergeCell ref="B158:B159"/>
    <mergeCell ref="C158:C159"/>
    <mergeCell ref="B160:B161"/>
    <mergeCell ref="C160:C161"/>
    <mergeCell ref="B165:D166"/>
    <mergeCell ref="C139:C140"/>
    <mergeCell ref="C141:C142"/>
    <mergeCell ref="B143:B145"/>
    <mergeCell ref="B147:B149"/>
    <mergeCell ref="B150:B151"/>
    <mergeCell ref="B153:B155"/>
    <mergeCell ref="B123:B128"/>
    <mergeCell ref="C123:C124"/>
    <mergeCell ref="C125:C126"/>
    <mergeCell ref="C127:C128"/>
    <mergeCell ref="B129:B142"/>
    <mergeCell ref="C129:C130"/>
    <mergeCell ref="C131:C132"/>
    <mergeCell ref="C133:C134"/>
    <mergeCell ref="C135:C136"/>
    <mergeCell ref="C137:C138"/>
    <mergeCell ref="B106:B111"/>
    <mergeCell ref="C106:C107"/>
    <mergeCell ref="C108:C109"/>
    <mergeCell ref="C110:C111"/>
    <mergeCell ref="B112:B122"/>
    <mergeCell ref="C113:C114"/>
    <mergeCell ref="C115:C116"/>
    <mergeCell ref="C117:C118"/>
    <mergeCell ref="C119:C120"/>
    <mergeCell ref="C121:C122"/>
    <mergeCell ref="B92:B105"/>
    <mergeCell ref="C92:C93"/>
    <mergeCell ref="C94:C95"/>
    <mergeCell ref="C96:C97"/>
    <mergeCell ref="C98:C99"/>
    <mergeCell ref="C100:C101"/>
    <mergeCell ref="C102:C103"/>
    <mergeCell ref="C104:C105"/>
    <mergeCell ref="B76:B91"/>
    <mergeCell ref="C76:C77"/>
    <mergeCell ref="C78:C79"/>
    <mergeCell ref="C80:C81"/>
    <mergeCell ref="C82:C83"/>
    <mergeCell ref="C84:C85"/>
    <mergeCell ref="C86:C87"/>
    <mergeCell ref="C88:C89"/>
    <mergeCell ref="C90:C91"/>
    <mergeCell ref="C62:C63"/>
    <mergeCell ref="C64:C65"/>
    <mergeCell ref="C66:C67"/>
    <mergeCell ref="C28:C29"/>
    <mergeCell ref="C30:C31"/>
    <mergeCell ref="C56:C57"/>
    <mergeCell ref="B68:B75"/>
    <mergeCell ref="C68:C69"/>
    <mergeCell ref="C70:C71"/>
    <mergeCell ref="C72:C73"/>
    <mergeCell ref="C74:C75"/>
    <mergeCell ref="B44:B49"/>
    <mergeCell ref="C44:C45"/>
    <mergeCell ref="C46:C47"/>
    <mergeCell ref="C48:C49"/>
    <mergeCell ref="B50:B67"/>
    <mergeCell ref="C50:C51"/>
    <mergeCell ref="C52:C53"/>
    <mergeCell ref="C54:C55"/>
    <mergeCell ref="C58:C59"/>
    <mergeCell ref="C60:C61"/>
    <mergeCell ref="P165:P166"/>
    <mergeCell ref="B2:D2"/>
    <mergeCell ref="B3:B4"/>
    <mergeCell ref="C3:C4"/>
    <mergeCell ref="D3:D4"/>
    <mergeCell ref="J165:J166"/>
    <mergeCell ref="C32:C33"/>
    <mergeCell ref="C34:C35"/>
    <mergeCell ref="C36:C37"/>
    <mergeCell ref="B38:B43"/>
    <mergeCell ref="C38:C39"/>
    <mergeCell ref="C40:C41"/>
    <mergeCell ref="C42:C43"/>
    <mergeCell ref="C15:C17"/>
    <mergeCell ref="C18:C19"/>
    <mergeCell ref="C20:C21"/>
    <mergeCell ref="C22:C23"/>
    <mergeCell ref="C24:C25"/>
    <mergeCell ref="C26:C27"/>
    <mergeCell ref="B5:B37"/>
    <mergeCell ref="C5:C7"/>
    <mergeCell ref="C8:C9"/>
    <mergeCell ref="C10:C11"/>
    <mergeCell ref="C12:C1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AA01-DF6D-4833-8263-3DB7238E687C}">
  <dimension ref="C2:H146"/>
  <sheetViews>
    <sheetView workbookViewId="0">
      <selection activeCell="H20" sqref="H20"/>
    </sheetView>
  </sheetViews>
  <sheetFormatPr defaultRowHeight="13.5" customHeight="1"/>
  <cols>
    <col min="1" max="1" width="4.25" customWidth="1"/>
    <col min="3" max="3" width="9" style="158"/>
    <col min="4" max="4" width="10.625" style="158" customWidth="1"/>
    <col min="5" max="5" width="9" style="158"/>
    <col min="6" max="6" width="14.25" style="158" customWidth="1"/>
  </cols>
  <sheetData>
    <row r="2" spans="3:8" ht="16.5"/>
    <row r="3" spans="3:8" ht="15" customHeight="1">
      <c r="C3" s="494" t="s">
        <v>1</v>
      </c>
      <c r="D3" s="494" t="s">
        <v>2</v>
      </c>
      <c r="E3" s="494" t="s">
        <v>3</v>
      </c>
      <c r="F3" s="559"/>
      <c r="G3" s="487" t="s">
        <v>98</v>
      </c>
      <c r="H3" s="488" t="s">
        <v>99</v>
      </c>
    </row>
    <row r="4" spans="3:8" ht="15" customHeight="1">
      <c r="C4" s="494"/>
      <c r="D4" s="494"/>
      <c r="E4" s="494"/>
      <c r="F4" s="560"/>
      <c r="G4" s="487"/>
      <c r="H4" s="488"/>
    </row>
    <row r="5" spans="3:8" ht="16.5">
      <c r="C5" s="561" t="s">
        <v>100</v>
      </c>
      <c r="D5" s="562" t="s">
        <v>55</v>
      </c>
      <c r="E5" s="202" t="s">
        <v>101</v>
      </c>
      <c r="F5" s="159" t="s">
        <v>102</v>
      </c>
      <c r="G5" s="2">
        <v>0</v>
      </c>
      <c r="H5" s="3">
        <v>255</v>
      </c>
    </row>
    <row r="6" spans="3:8" ht="16.5">
      <c r="C6" s="509"/>
      <c r="D6" s="563"/>
      <c r="E6" s="203" t="s">
        <v>8</v>
      </c>
      <c r="F6" s="160" t="s">
        <v>103</v>
      </c>
      <c r="G6" s="2">
        <v>19</v>
      </c>
      <c r="H6" s="4">
        <v>1695</v>
      </c>
    </row>
    <row r="7" spans="3:8" ht="16.5">
      <c r="C7" s="509"/>
      <c r="D7" s="564"/>
      <c r="E7" s="204" t="s">
        <v>9</v>
      </c>
      <c r="F7" s="161" t="s">
        <v>104</v>
      </c>
      <c r="G7" s="2">
        <v>79</v>
      </c>
      <c r="H7" s="4">
        <v>807</v>
      </c>
    </row>
    <row r="8" spans="3:8" ht="15" customHeight="1">
      <c r="C8" s="509"/>
      <c r="D8" s="565" t="s">
        <v>105</v>
      </c>
      <c r="E8" s="205" t="s">
        <v>8</v>
      </c>
      <c r="F8" s="162" t="s">
        <v>106</v>
      </c>
      <c r="G8" s="2">
        <v>23</v>
      </c>
      <c r="H8" s="3">
        <v>64</v>
      </c>
    </row>
    <row r="9" spans="3:8" ht="16.5">
      <c r="C9" s="509"/>
      <c r="D9" s="566"/>
      <c r="E9" s="206" t="s">
        <v>9</v>
      </c>
      <c r="F9" s="163" t="s">
        <v>107</v>
      </c>
      <c r="G9" s="2">
        <v>35</v>
      </c>
      <c r="H9" s="3">
        <v>298</v>
      </c>
    </row>
    <row r="10" spans="3:8" ht="16.5">
      <c r="C10" s="509"/>
      <c r="D10" s="567" t="s">
        <v>108</v>
      </c>
      <c r="E10" s="208" t="s">
        <v>8</v>
      </c>
      <c r="F10" s="164" t="s">
        <v>109</v>
      </c>
      <c r="G10" s="2">
        <v>0</v>
      </c>
      <c r="H10" s="3">
        <v>0</v>
      </c>
    </row>
    <row r="11" spans="3:8" ht="16.5">
      <c r="C11" s="509"/>
      <c r="D11" s="568"/>
      <c r="E11" s="209" t="s">
        <v>9</v>
      </c>
      <c r="F11" s="165" t="s">
        <v>110</v>
      </c>
      <c r="G11" s="2">
        <v>25</v>
      </c>
      <c r="H11" s="3">
        <v>147</v>
      </c>
    </row>
    <row r="12" spans="3:8" ht="15" customHeight="1">
      <c r="C12" s="509"/>
      <c r="D12" s="569" t="s">
        <v>111</v>
      </c>
      <c r="E12" s="210" t="s">
        <v>8</v>
      </c>
      <c r="F12" s="166" t="s">
        <v>112</v>
      </c>
      <c r="G12" s="2">
        <v>56</v>
      </c>
      <c r="H12" s="3">
        <v>1059</v>
      </c>
    </row>
    <row r="13" spans="3:8" ht="16.5">
      <c r="C13" s="509"/>
      <c r="D13" s="570"/>
      <c r="E13" s="211" t="s">
        <v>9</v>
      </c>
      <c r="F13" s="167" t="s">
        <v>113</v>
      </c>
      <c r="G13" s="2">
        <v>13</v>
      </c>
      <c r="H13" s="3">
        <v>92</v>
      </c>
    </row>
    <row r="14" spans="3:8" ht="16.5">
      <c r="C14" s="509"/>
      <c r="D14" s="571" t="s">
        <v>114</v>
      </c>
      <c r="E14" s="212" t="s">
        <v>8</v>
      </c>
      <c r="F14" s="285" t="s">
        <v>115</v>
      </c>
      <c r="G14" s="2">
        <v>77</v>
      </c>
      <c r="H14" s="3">
        <v>17</v>
      </c>
    </row>
    <row r="15" spans="3:8" ht="16.5">
      <c r="C15" s="509"/>
      <c r="D15" s="572"/>
      <c r="E15" s="213" t="s">
        <v>9</v>
      </c>
      <c r="F15" s="286" t="s">
        <v>116</v>
      </c>
      <c r="G15" s="2">
        <v>2</v>
      </c>
      <c r="H15" s="3">
        <v>27</v>
      </c>
    </row>
    <row r="16" spans="3:8" ht="16.5">
      <c r="C16" s="509"/>
      <c r="D16" s="526" t="s">
        <v>117</v>
      </c>
      <c r="E16" s="214" t="s">
        <v>8</v>
      </c>
      <c r="F16" s="287" t="s">
        <v>118</v>
      </c>
      <c r="G16" s="2">
        <v>127</v>
      </c>
      <c r="H16" s="3">
        <v>261</v>
      </c>
    </row>
    <row r="17" spans="3:8" ht="16.5">
      <c r="C17" s="509"/>
      <c r="D17" s="527"/>
      <c r="E17" s="215" t="s">
        <v>9</v>
      </c>
      <c r="F17" s="288" t="s">
        <v>119</v>
      </c>
      <c r="G17" s="2">
        <v>5</v>
      </c>
      <c r="H17" s="3">
        <v>228</v>
      </c>
    </row>
    <row r="18" spans="3:8" ht="15" customHeight="1">
      <c r="C18" s="509"/>
      <c r="D18" s="573" t="s">
        <v>120</v>
      </c>
      <c r="E18" s="216" t="s">
        <v>8</v>
      </c>
      <c r="F18" s="289" t="s">
        <v>121</v>
      </c>
      <c r="G18" s="2">
        <v>0</v>
      </c>
      <c r="H18" s="3">
        <v>0</v>
      </c>
    </row>
    <row r="19" spans="3:8" ht="16.5">
      <c r="C19" s="509"/>
      <c r="D19" s="574"/>
      <c r="E19" s="217" t="s">
        <v>9</v>
      </c>
      <c r="F19" s="290" t="s">
        <v>122</v>
      </c>
      <c r="G19" s="2">
        <v>0</v>
      </c>
      <c r="H19" s="3">
        <v>2</v>
      </c>
    </row>
    <row r="20" spans="3:8" ht="15" customHeight="1">
      <c r="C20" s="509"/>
      <c r="D20" s="575" t="s">
        <v>123</v>
      </c>
      <c r="E20" s="218" t="s">
        <v>8</v>
      </c>
      <c r="F20" s="196" t="s">
        <v>124</v>
      </c>
      <c r="G20" s="2">
        <v>0</v>
      </c>
      <c r="H20" s="3">
        <v>0</v>
      </c>
    </row>
    <row r="21" spans="3:8" ht="16.5">
      <c r="C21" s="509"/>
      <c r="D21" s="576"/>
      <c r="E21" s="219" t="s">
        <v>9</v>
      </c>
      <c r="F21" s="193" t="s">
        <v>125</v>
      </c>
      <c r="G21" s="2">
        <v>4</v>
      </c>
      <c r="H21" s="3">
        <v>5</v>
      </c>
    </row>
    <row r="22" spans="3:8" ht="15" customHeight="1">
      <c r="C22" s="509"/>
      <c r="D22" s="398" t="s">
        <v>21</v>
      </c>
      <c r="E22" s="171" t="s">
        <v>8</v>
      </c>
      <c r="F22" s="291" t="s">
        <v>126</v>
      </c>
      <c r="G22" s="2">
        <v>0</v>
      </c>
      <c r="H22" s="3">
        <v>96</v>
      </c>
    </row>
    <row r="23" spans="3:8" ht="16.5">
      <c r="C23" s="509"/>
      <c r="D23" s="399"/>
      <c r="E23" s="220" t="s">
        <v>9</v>
      </c>
      <c r="F23" s="172" t="s">
        <v>127</v>
      </c>
      <c r="G23" s="2">
        <v>0</v>
      </c>
      <c r="H23" s="3">
        <v>48</v>
      </c>
    </row>
    <row r="24" spans="3:8" ht="15" customHeight="1">
      <c r="C24" s="509"/>
      <c r="D24" s="400" t="s">
        <v>22</v>
      </c>
      <c r="E24" s="221" t="s">
        <v>8</v>
      </c>
      <c r="F24" s="292" t="s">
        <v>128</v>
      </c>
      <c r="G24" s="2">
        <v>0</v>
      </c>
      <c r="H24" s="3">
        <v>96</v>
      </c>
    </row>
    <row r="25" spans="3:8" ht="16.5">
      <c r="C25" s="509"/>
      <c r="D25" s="400"/>
      <c r="E25" s="222" t="s">
        <v>9</v>
      </c>
      <c r="F25" s="173" t="s">
        <v>129</v>
      </c>
      <c r="G25" s="2">
        <v>0</v>
      </c>
      <c r="H25" s="3">
        <v>48</v>
      </c>
    </row>
    <row r="26" spans="3:8" ht="15" customHeight="1">
      <c r="C26" s="509"/>
      <c r="D26" s="577" t="s">
        <v>130</v>
      </c>
      <c r="E26" s="223" t="s">
        <v>8</v>
      </c>
      <c r="F26" s="174" t="s">
        <v>131</v>
      </c>
      <c r="G26" s="2">
        <v>0</v>
      </c>
      <c r="H26" s="3">
        <v>1</v>
      </c>
    </row>
    <row r="27" spans="3:8" ht="16.5">
      <c r="C27" s="509"/>
      <c r="D27" s="531"/>
      <c r="E27" s="224" t="s">
        <v>9</v>
      </c>
      <c r="F27" s="175" t="s">
        <v>132</v>
      </c>
      <c r="G27" s="2">
        <v>3</v>
      </c>
      <c r="H27" s="3">
        <v>1</v>
      </c>
    </row>
    <row r="28" spans="3:8" ht="16.5">
      <c r="C28" s="509"/>
      <c r="D28" s="578" t="s">
        <v>133</v>
      </c>
      <c r="E28" s="225" t="s">
        <v>8</v>
      </c>
      <c r="F28" s="293" t="s">
        <v>134</v>
      </c>
      <c r="G28" s="2">
        <v>0</v>
      </c>
      <c r="H28" s="3">
        <v>2</v>
      </c>
    </row>
    <row r="29" spans="3:8" ht="16.5">
      <c r="C29" s="509"/>
      <c r="D29" s="529"/>
      <c r="E29" s="226" t="s">
        <v>9</v>
      </c>
      <c r="F29" s="294" t="s">
        <v>135</v>
      </c>
      <c r="G29" s="2">
        <v>3</v>
      </c>
      <c r="H29" s="4">
        <v>17</v>
      </c>
    </row>
    <row r="30" spans="3:8" ht="16.5">
      <c r="C30" s="509"/>
      <c r="D30" s="579" t="s">
        <v>136</v>
      </c>
      <c r="E30" s="227" t="s">
        <v>8</v>
      </c>
      <c r="F30" s="295" t="s">
        <v>137</v>
      </c>
      <c r="G30" s="2">
        <v>0</v>
      </c>
      <c r="H30" s="3">
        <v>2</v>
      </c>
    </row>
    <row r="31" spans="3:8" ht="16.5">
      <c r="C31" s="509"/>
      <c r="D31" s="580"/>
      <c r="E31" s="228" t="s">
        <v>9</v>
      </c>
      <c r="F31" s="296" t="s">
        <v>138</v>
      </c>
      <c r="G31" s="2">
        <v>5</v>
      </c>
      <c r="H31" s="3">
        <v>11</v>
      </c>
    </row>
    <row r="32" spans="3:8" ht="15" customHeight="1">
      <c r="C32" s="556" t="s">
        <v>26</v>
      </c>
      <c r="D32" s="511" t="s">
        <v>27</v>
      </c>
      <c r="E32" s="229" t="s">
        <v>8</v>
      </c>
      <c r="F32" s="177" t="s">
        <v>139</v>
      </c>
      <c r="G32" s="2">
        <v>0</v>
      </c>
      <c r="H32" s="5">
        <v>0</v>
      </c>
    </row>
    <row r="33" spans="3:8" ht="16.5">
      <c r="C33" s="511"/>
      <c r="D33" s="512"/>
      <c r="E33" s="230" t="s">
        <v>9</v>
      </c>
      <c r="F33" s="178" t="s">
        <v>140</v>
      </c>
      <c r="G33" s="2">
        <v>13</v>
      </c>
      <c r="H33" s="5">
        <v>835</v>
      </c>
    </row>
    <row r="34" spans="3:8" ht="16.5">
      <c r="C34" s="511"/>
      <c r="D34" s="506" t="s">
        <v>141</v>
      </c>
      <c r="E34" s="231" t="s">
        <v>8</v>
      </c>
      <c r="F34" s="179" t="s">
        <v>142</v>
      </c>
      <c r="G34" s="2">
        <v>0</v>
      </c>
      <c r="H34" s="5">
        <v>1</v>
      </c>
    </row>
    <row r="35" spans="3:8" ht="16.5">
      <c r="C35" s="512"/>
      <c r="D35" s="522"/>
      <c r="E35" s="232" t="s">
        <v>9</v>
      </c>
      <c r="F35" s="180" t="s">
        <v>143</v>
      </c>
      <c r="G35" s="2">
        <v>13</v>
      </c>
      <c r="H35" s="5">
        <v>401</v>
      </c>
    </row>
    <row r="36" spans="3:8" ht="15.75" customHeight="1">
      <c r="C36" s="538" t="s">
        <v>144</v>
      </c>
      <c r="D36" s="540" t="s">
        <v>145</v>
      </c>
      <c r="E36" s="233" t="s">
        <v>8</v>
      </c>
      <c r="F36" s="297" t="s">
        <v>146</v>
      </c>
      <c r="G36" s="2">
        <v>3</v>
      </c>
      <c r="H36" s="5">
        <v>5</v>
      </c>
    </row>
    <row r="37" spans="3:8" ht="16.5">
      <c r="C37" s="538"/>
      <c r="D37" s="541"/>
      <c r="E37" s="234" t="s">
        <v>9</v>
      </c>
      <c r="F37" s="298" t="s">
        <v>147</v>
      </c>
      <c r="G37" s="2">
        <v>1</v>
      </c>
      <c r="H37" s="5">
        <v>10</v>
      </c>
    </row>
    <row r="38" spans="3:8" ht="16.5">
      <c r="C38" s="538"/>
      <c r="D38" s="557" t="s">
        <v>148</v>
      </c>
      <c r="E38" s="235" t="s">
        <v>8</v>
      </c>
      <c r="F38" s="299" t="s">
        <v>149</v>
      </c>
      <c r="G38" s="2">
        <v>0</v>
      </c>
      <c r="H38" s="3">
        <v>0</v>
      </c>
    </row>
    <row r="39" spans="3:8" ht="16.5">
      <c r="C39" s="538"/>
      <c r="D39" s="558"/>
      <c r="E39" s="236" t="s">
        <v>9</v>
      </c>
      <c r="F39" s="300" t="s">
        <v>150</v>
      </c>
      <c r="G39" s="2">
        <v>0</v>
      </c>
      <c r="H39" s="3">
        <v>0</v>
      </c>
    </row>
    <row r="40" spans="3:8" ht="15.75" customHeight="1">
      <c r="C40" s="538"/>
      <c r="D40" s="544" t="s">
        <v>151</v>
      </c>
      <c r="E40" s="237" t="s">
        <v>8</v>
      </c>
      <c r="F40" s="301" t="s">
        <v>152</v>
      </c>
      <c r="G40" s="2">
        <v>0</v>
      </c>
      <c r="H40" s="3">
        <v>0</v>
      </c>
    </row>
    <row r="41" spans="3:8" ht="16.5">
      <c r="C41" s="539"/>
      <c r="D41" s="545"/>
      <c r="E41" s="238" t="s">
        <v>9</v>
      </c>
      <c r="F41" s="302" t="s">
        <v>153</v>
      </c>
      <c r="G41" s="2">
        <v>3</v>
      </c>
      <c r="H41" s="3">
        <v>4</v>
      </c>
    </row>
    <row r="42" spans="3:8" ht="15" customHeight="1">
      <c r="C42" s="546" t="s">
        <v>154</v>
      </c>
      <c r="D42" s="548" t="s">
        <v>155</v>
      </c>
      <c r="E42" s="239" t="s">
        <v>8</v>
      </c>
      <c r="F42" s="181" t="s">
        <v>156</v>
      </c>
      <c r="G42" s="2">
        <v>0</v>
      </c>
      <c r="H42" s="3">
        <v>97</v>
      </c>
    </row>
    <row r="43" spans="3:8" ht="16.5">
      <c r="C43" s="546"/>
      <c r="D43" s="549"/>
      <c r="E43" s="240" t="s">
        <v>9</v>
      </c>
      <c r="F43" s="182" t="s">
        <v>157</v>
      </c>
      <c r="G43" s="2">
        <v>20</v>
      </c>
      <c r="H43" s="3">
        <v>195</v>
      </c>
    </row>
    <row r="44" spans="3:8" ht="16.5">
      <c r="C44" s="546"/>
      <c r="D44" s="509" t="s">
        <v>158</v>
      </c>
      <c r="E44" s="241" t="s">
        <v>8</v>
      </c>
      <c r="F44" s="183" t="s">
        <v>159</v>
      </c>
      <c r="G44" s="2">
        <v>0</v>
      </c>
      <c r="H44" s="3">
        <v>0</v>
      </c>
    </row>
    <row r="45" spans="3:8" ht="16.5">
      <c r="C45" s="546"/>
      <c r="D45" s="510"/>
      <c r="E45" s="242" t="s">
        <v>9</v>
      </c>
      <c r="F45" s="184" t="s">
        <v>160</v>
      </c>
      <c r="G45" s="2">
        <v>0</v>
      </c>
      <c r="H45" s="3">
        <v>0</v>
      </c>
    </row>
    <row r="46" spans="3:8" ht="16.5">
      <c r="C46" s="546"/>
      <c r="D46" s="550" t="s">
        <v>161</v>
      </c>
      <c r="E46" s="212" t="s">
        <v>8</v>
      </c>
      <c r="F46" s="303" t="s">
        <v>162</v>
      </c>
      <c r="G46" s="2">
        <v>0</v>
      </c>
      <c r="H46" s="3">
        <v>101</v>
      </c>
    </row>
    <row r="47" spans="3:8" ht="16.5">
      <c r="C47" s="546"/>
      <c r="D47" s="551"/>
      <c r="E47" s="213" t="s">
        <v>9</v>
      </c>
      <c r="F47" s="286" t="s">
        <v>163</v>
      </c>
      <c r="G47" s="2">
        <v>29</v>
      </c>
      <c r="H47" s="3">
        <v>478</v>
      </c>
    </row>
    <row r="48" spans="3:8" ht="16.5">
      <c r="C48" s="546"/>
      <c r="D48" s="538" t="s">
        <v>164</v>
      </c>
      <c r="E48" s="243" t="s">
        <v>8</v>
      </c>
      <c r="F48" s="186" t="s">
        <v>165</v>
      </c>
      <c r="G48" s="2">
        <v>113</v>
      </c>
      <c r="H48" s="5">
        <v>60</v>
      </c>
    </row>
    <row r="49" spans="3:8" ht="16.5">
      <c r="C49" s="546"/>
      <c r="D49" s="539"/>
      <c r="E49" s="244" t="s">
        <v>9</v>
      </c>
      <c r="F49" s="187" t="s">
        <v>166</v>
      </c>
      <c r="G49" s="2">
        <v>55</v>
      </c>
      <c r="H49" s="5">
        <v>732</v>
      </c>
    </row>
    <row r="50" spans="3:8" ht="16.5">
      <c r="C50" s="546"/>
      <c r="D50" s="497" t="s">
        <v>108</v>
      </c>
      <c r="E50" s="245" t="s">
        <v>8</v>
      </c>
      <c r="F50" s="188" t="s">
        <v>167</v>
      </c>
      <c r="G50" s="2">
        <v>0</v>
      </c>
      <c r="H50" s="5">
        <v>0</v>
      </c>
    </row>
    <row r="51" spans="3:8" ht="16.5">
      <c r="C51" s="546"/>
      <c r="D51" s="498"/>
      <c r="E51" s="246" t="s">
        <v>9</v>
      </c>
      <c r="F51" s="189" t="s">
        <v>168</v>
      </c>
      <c r="G51" s="2">
        <v>60</v>
      </c>
      <c r="H51" s="5">
        <v>304</v>
      </c>
    </row>
    <row r="52" spans="3:8" ht="16.5">
      <c r="C52" s="546"/>
      <c r="D52" s="552" t="s">
        <v>169</v>
      </c>
      <c r="E52" s="247" t="s">
        <v>8</v>
      </c>
      <c r="F52" s="304" t="s">
        <v>170</v>
      </c>
      <c r="G52" s="2">
        <v>0</v>
      </c>
      <c r="H52" s="3">
        <v>74</v>
      </c>
    </row>
    <row r="53" spans="3:8" ht="16.5">
      <c r="C53" s="546"/>
      <c r="D53" s="553"/>
      <c r="E53" s="248" t="s">
        <v>9</v>
      </c>
      <c r="F53" s="190" t="s">
        <v>171</v>
      </c>
      <c r="G53" s="2">
        <v>1</v>
      </c>
      <c r="H53" s="3">
        <v>64</v>
      </c>
    </row>
    <row r="54" spans="3:8" ht="16.5">
      <c r="C54" s="546"/>
      <c r="D54" s="554" t="s">
        <v>172</v>
      </c>
      <c r="E54" s="249" t="s">
        <v>8</v>
      </c>
      <c r="F54" s="305" t="s">
        <v>173</v>
      </c>
      <c r="G54" s="2">
        <v>0</v>
      </c>
      <c r="H54" s="3">
        <v>72</v>
      </c>
    </row>
    <row r="55" spans="3:8" ht="16.5">
      <c r="C55" s="547"/>
      <c r="D55" s="555"/>
      <c r="E55" s="238" t="s">
        <v>9</v>
      </c>
      <c r="F55" s="306" t="s">
        <v>174</v>
      </c>
      <c r="G55" s="2">
        <v>0</v>
      </c>
      <c r="H55" s="3">
        <v>62</v>
      </c>
    </row>
    <row r="56" spans="3:8" ht="16.5">
      <c r="C56" s="538" t="s">
        <v>48</v>
      </c>
      <c r="D56" s="506" t="s">
        <v>155</v>
      </c>
      <c r="E56" s="231" t="s">
        <v>8</v>
      </c>
      <c r="F56" s="179" t="s">
        <v>175</v>
      </c>
      <c r="G56" s="2">
        <v>0</v>
      </c>
      <c r="H56" s="3">
        <v>0</v>
      </c>
    </row>
    <row r="57" spans="3:8" ht="16.5">
      <c r="C57" s="538"/>
      <c r="D57" s="522"/>
      <c r="E57" s="232" t="s">
        <v>9</v>
      </c>
      <c r="F57" s="180" t="s">
        <v>176</v>
      </c>
      <c r="G57" s="2">
        <v>0</v>
      </c>
      <c r="H57" s="3">
        <v>0</v>
      </c>
    </row>
    <row r="58" spans="3:8" ht="16.5">
      <c r="C58" s="538"/>
      <c r="D58" s="497" t="s">
        <v>108</v>
      </c>
      <c r="E58" s="245" t="s">
        <v>8</v>
      </c>
      <c r="F58" s="188" t="s">
        <v>177</v>
      </c>
      <c r="G58" s="2">
        <v>0</v>
      </c>
      <c r="H58" s="3">
        <v>0</v>
      </c>
    </row>
    <row r="59" spans="3:8" ht="16.5">
      <c r="C59" s="538"/>
      <c r="D59" s="498"/>
      <c r="E59" s="246" t="s">
        <v>9</v>
      </c>
      <c r="F59" s="189" t="s">
        <v>178</v>
      </c>
      <c r="G59" s="2">
        <v>3</v>
      </c>
      <c r="H59" s="4">
        <v>275</v>
      </c>
    </row>
    <row r="60" spans="3:8" ht="15" customHeight="1">
      <c r="C60" s="538"/>
      <c r="D60" s="511" t="s">
        <v>179</v>
      </c>
      <c r="E60" s="229" t="s">
        <v>8</v>
      </c>
      <c r="F60" s="177" t="s">
        <v>180</v>
      </c>
      <c r="G60" s="2">
        <v>0</v>
      </c>
      <c r="H60" s="5">
        <v>1</v>
      </c>
    </row>
    <row r="61" spans="3:8" ht="16.5">
      <c r="C61" s="538"/>
      <c r="D61" s="512"/>
      <c r="E61" s="230" t="s">
        <v>9</v>
      </c>
      <c r="F61" s="178" t="s">
        <v>181</v>
      </c>
      <c r="G61" s="2">
        <v>20</v>
      </c>
      <c r="H61" s="5">
        <v>899</v>
      </c>
    </row>
    <row r="62" spans="3:8" ht="16.5">
      <c r="C62" s="538"/>
      <c r="D62" s="523" t="s">
        <v>93</v>
      </c>
      <c r="E62" s="218" t="s">
        <v>8</v>
      </c>
      <c r="F62" s="196" t="s">
        <v>182</v>
      </c>
      <c r="G62" s="2">
        <v>0</v>
      </c>
      <c r="H62" s="5">
        <v>0</v>
      </c>
    </row>
    <row r="63" spans="3:8" ht="16.5">
      <c r="C63" s="538"/>
      <c r="D63" s="508"/>
      <c r="E63" s="219" t="s">
        <v>9</v>
      </c>
      <c r="F63" s="193" t="s">
        <v>183</v>
      </c>
      <c r="G63" s="2">
        <v>17</v>
      </c>
      <c r="H63" s="157">
        <v>2730</v>
      </c>
    </row>
    <row r="64" spans="3:8" ht="15.75" customHeight="1">
      <c r="C64" s="538"/>
      <c r="D64" s="540" t="s">
        <v>184</v>
      </c>
      <c r="E64" s="233" t="s">
        <v>8</v>
      </c>
      <c r="F64" s="307" t="s">
        <v>185</v>
      </c>
      <c r="G64" s="2">
        <v>25</v>
      </c>
      <c r="H64" s="5">
        <v>80</v>
      </c>
    </row>
    <row r="65" spans="3:8" ht="16.5">
      <c r="C65" s="538"/>
      <c r="D65" s="541"/>
      <c r="E65" s="234" t="s">
        <v>9</v>
      </c>
      <c r="F65" s="308" t="s">
        <v>186</v>
      </c>
      <c r="G65" s="2">
        <v>2</v>
      </c>
      <c r="H65" s="5">
        <v>57</v>
      </c>
    </row>
    <row r="66" spans="3:8" ht="16.5">
      <c r="C66" s="538"/>
      <c r="D66" s="542" t="s">
        <v>187</v>
      </c>
      <c r="E66" s="250" t="s">
        <v>8</v>
      </c>
      <c r="F66" s="309" t="s">
        <v>188</v>
      </c>
      <c r="G66" s="2">
        <v>30</v>
      </c>
      <c r="H66" s="3">
        <v>103</v>
      </c>
    </row>
    <row r="67" spans="3:8" ht="16.5">
      <c r="C67" s="538"/>
      <c r="D67" s="543"/>
      <c r="E67" s="251" t="s">
        <v>9</v>
      </c>
      <c r="F67" s="310" t="s">
        <v>189</v>
      </c>
      <c r="G67" s="2">
        <v>1</v>
      </c>
      <c r="H67" s="3">
        <v>57</v>
      </c>
    </row>
    <row r="68" spans="3:8" ht="16.5">
      <c r="C68" s="538"/>
      <c r="D68" s="544" t="s">
        <v>190</v>
      </c>
      <c r="E68" s="237" t="s">
        <v>8</v>
      </c>
      <c r="F68" s="301" t="s">
        <v>191</v>
      </c>
      <c r="G68" s="2">
        <v>17</v>
      </c>
      <c r="H68" s="3">
        <v>92</v>
      </c>
    </row>
    <row r="69" spans="3:8" ht="16.5">
      <c r="C69" s="539"/>
      <c r="D69" s="545"/>
      <c r="E69" s="238" t="s">
        <v>9</v>
      </c>
      <c r="F69" s="302" t="s">
        <v>192</v>
      </c>
      <c r="G69" s="2">
        <v>1</v>
      </c>
      <c r="H69" s="3">
        <v>66</v>
      </c>
    </row>
    <row r="70" spans="3:8" ht="16.5" customHeight="1">
      <c r="C70" s="511" t="s">
        <v>193</v>
      </c>
      <c r="D70" s="532" t="s">
        <v>194</v>
      </c>
      <c r="E70" s="185" t="s">
        <v>8</v>
      </c>
      <c r="F70" s="303" t="s">
        <v>195</v>
      </c>
      <c r="G70" s="2">
        <v>0</v>
      </c>
      <c r="H70" s="5">
        <v>0</v>
      </c>
    </row>
    <row r="71" spans="3:8" ht="16.5">
      <c r="C71" s="511"/>
      <c r="D71" s="533"/>
      <c r="E71" s="168" t="s">
        <v>9</v>
      </c>
      <c r="F71" s="286" t="s">
        <v>196</v>
      </c>
      <c r="G71" s="2">
        <v>0</v>
      </c>
      <c r="H71" s="5">
        <v>0</v>
      </c>
    </row>
    <row r="72" spans="3:8" ht="16.5" customHeight="1">
      <c r="C72" s="511"/>
      <c r="D72" s="532" t="s">
        <v>45</v>
      </c>
      <c r="E72" s="185" t="s">
        <v>8</v>
      </c>
      <c r="F72" s="303" t="s">
        <v>197</v>
      </c>
      <c r="G72" s="2">
        <v>0</v>
      </c>
      <c r="H72" s="5">
        <v>0</v>
      </c>
    </row>
    <row r="73" spans="3:8" ht="16.5">
      <c r="C73" s="511"/>
      <c r="D73" s="533"/>
      <c r="E73" s="168" t="s">
        <v>9</v>
      </c>
      <c r="F73" s="286" t="s">
        <v>198</v>
      </c>
      <c r="G73" s="2">
        <v>0</v>
      </c>
      <c r="H73" s="5">
        <v>0</v>
      </c>
    </row>
    <row r="74" spans="3:8" ht="16.5" customHeight="1">
      <c r="C74" s="511"/>
      <c r="D74" s="534" t="s">
        <v>199</v>
      </c>
      <c r="E74" s="214" t="s">
        <v>8</v>
      </c>
      <c r="F74" s="199" t="s">
        <v>200</v>
      </c>
      <c r="G74" s="2">
        <v>0</v>
      </c>
      <c r="H74" s="4">
        <v>0</v>
      </c>
    </row>
    <row r="75" spans="3:8" ht="16.5">
      <c r="C75" s="511"/>
      <c r="D75" s="535"/>
      <c r="E75" s="215" t="s">
        <v>9</v>
      </c>
      <c r="F75" s="191" t="s">
        <v>201</v>
      </c>
      <c r="G75" s="2">
        <v>0</v>
      </c>
      <c r="H75" s="3">
        <v>1</v>
      </c>
    </row>
    <row r="76" spans="3:8" ht="16.5">
      <c r="C76" s="511"/>
      <c r="D76" s="536" t="s">
        <v>202</v>
      </c>
      <c r="E76" s="252" t="s">
        <v>8</v>
      </c>
      <c r="F76" s="311" t="s">
        <v>203</v>
      </c>
      <c r="G76" s="2">
        <v>0</v>
      </c>
      <c r="H76" s="5">
        <v>1</v>
      </c>
    </row>
    <row r="77" spans="3:8" ht="16.5">
      <c r="C77" s="512"/>
      <c r="D77" s="537"/>
      <c r="E77" s="253" t="s">
        <v>9</v>
      </c>
      <c r="F77" s="312" t="s">
        <v>204</v>
      </c>
      <c r="G77" s="2">
        <v>1</v>
      </c>
      <c r="H77" s="5">
        <v>5</v>
      </c>
    </row>
    <row r="78" spans="3:8" ht="16.5">
      <c r="C78" s="524" t="s">
        <v>205</v>
      </c>
      <c r="D78" s="509" t="s">
        <v>55</v>
      </c>
      <c r="E78" s="254" t="s">
        <v>9</v>
      </c>
      <c r="F78" s="183" t="s">
        <v>206</v>
      </c>
      <c r="G78" s="2">
        <v>122</v>
      </c>
      <c r="H78" s="157">
        <v>1211</v>
      </c>
    </row>
    <row r="79" spans="3:8" ht="16.5">
      <c r="C79" s="524"/>
      <c r="D79" s="510"/>
      <c r="E79" s="242" t="s">
        <v>56</v>
      </c>
      <c r="F79" s="184" t="s">
        <v>207</v>
      </c>
      <c r="G79" s="2">
        <v>53</v>
      </c>
      <c r="H79" s="5">
        <v>852</v>
      </c>
    </row>
    <row r="80" spans="3:8" ht="16.5">
      <c r="C80" s="524"/>
      <c r="D80" s="526" t="s">
        <v>117</v>
      </c>
      <c r="E80" s="214" t="s">
        <v>9</v>
      </c>
      <c r="F80" s="191" t="s">
        <v>208</v>
      </c>
      <c r="G80" s="2">
        <v>14</v>
      </c>
      <c r="H80" s="5">
        <v>368</v>
      </c>
    </row>
    <row r="81" spans="3:8" ht="16.5">
      <c r="C81" s="524"/>
      <c r="D81" s="527"/>
      <c r="E81" s="215" t="s">
        <v>56</v>
      </c>
      <c r="F81" s="313" t="s">
        <v>209</v>
      </c>
      <c r="G81" s="2">
        <v>5</v>
      </c>
      <c r="H81" s="5">
        <v>184</v>
      </c>
    </row>
    <row r="82" spans="3:8" ht="16.5">
      <c r="C82" s="524"/>
      <c r="D82" s="436" t="s">
        <v>57</v>
      </c>
      <c r="E82" s="171" t="s">
        <v>9</v>
      </c>
      <c r="F82" s="291" t="s">
        <v>210</v>
      </c>
      <c r="G82" s="2">
        <v>0</v>
      </c>
      <c r="H82" s="5">
        <v>48</v>
      </c>
    </row>
    <row r="83" spans="3:8" ht="16.5">
      <c r="C83" s="524"/>
      <c r="D83" s="399"/>
      <c r="E83" s="220" t="s">
        <v>56</v>
      </c>
      <c r="F83" s="172" t="s">
        <v>211</v>
      </c>
      <c r="G83" s="2">
        <v>0</v>
      </c>
      <c r="H83" s="5">
        <v>48</v>
      </c>
    </row>
    <row r="84" spans="3:8" ht="16.5">
      <c r="C84" s="524"/>
      <c r="D84" s="437" t="s">
        <v>58</v>
      </c>
      <c r="E84" s="221" t="s">
        <v>9</v>
      </c>
      <c r="F84" s="292" t="s">
        <v>212</v>
      </c>
      <c r="G84" s="2">
        <v>0</v>
      </c>
      <c r="H84" s="5">
        <v>48</v>
      </c>
    </row>
    <row r="85" spans="3:8" ht="16.5">
      <c r="C85" s="524"/>
      <c r="D85" s="400"/>
      <c r="E85" s="222" t="s">
        <v>56</v>
      </c>
      <c r="F85" s="173" t="s">
        <v>213</v>
      </c>
      <c r="G85" s="2">
        <v>0</v>
      </c>
      <c r="H85" s="5">
        <v>48</v>
      </c>
    </row>
    <row r="86" spans="3:8" ht="16.5">
      <c r="C86" s="524"/>
      <c r="D86" s="528" t="s">
        <v>133</v>
      </c>
      <c r="E86" s="225" t="s">
        <v>9</v>
      </c>
      <c r="F86" s="314" t="s">
        <v>214</v>
      </c>
      <c r="G86" s="2">
        <v>10</v>
      </c>
      <c r="H86" s="5">
        <v>0</v>
      </c>
    </row>
    <row r="87" spans="3:8" ht="16.5">
      <c r="C87" s="524"/>
      <c r="D87" s="529"/>
      <c r="E87" s="226" t="s">
        <v>56</v>
      </c>
      <c r="F87" s="315" t="s">
        <v>215</v>
      </c>
      <c r="G87" s="2">
        <v>0</v>
      </c>
      <c r="H87" s="5">
        <v>1</v>
      </c>
    </row>
    <row r="88" spans="3:8" ht="16.5">
      <c r="C88" s="524"/>
      <c r="D88" s="530" t="s">
        <v>130</v>
      </c>
      <c r="E88" s="223" t="s">
        <v>9</v>
      </c>
      <c r="F88" s="198" t="s">
        <v>216</v>
      </c>
      <c r="G88" s="2">
        <v>8</v>
      </c>
      <c r="H88" s="5">
        <v>0</v>
      </c>
    </row>
    <row r="89" spans="3:8" ht="16.5">
      <c r="C89" s="524"/>
      <c r="D89" s="531"/>
      <c r="E89" s="224" t="s">
        <v>56</v>
      </c>
      <c r="F89" s="316" t="s">
        <v>217</v>
      </c>
      <c r="G89" s="2">
        <v>0</v>
      </c>
      <c r="H89" s="5">
        <v>1</v>
      </c>
    </row>
    <row r="90" spans="3:8" ht="16.5">
      <c r="C90" s="524"/>
      <c r="D90" s="523" t="s">
        <v>136</v>
      </c>
      <c r="E90" s="241" t="s">
        <v>9</v>
      </c>
      <c r="F90" s="317" t="s">
        <v>218</v>
      </c>
      <c r="G90" s="2">
        <v>7</v>
      </c>
      <c r="H90" s="3">
        <v>7</v>
      </c>
    </row>
    <row r="91" spans="3:8" ht="16.5">
      <c r="C91" s="525"/>
      <c r="D91" s="508"/>
      <c r="E91" s="242" t="s">
        <v>56</v>
      </c>
      <c r="F91" s="318" t="s">
        <v>219</v>
      </c>
      <c r="G91" s="2">
        <v>0</v>
      </c>
      <c r="H91" s="3">
        <v>18</v>
      </c>
    </row>
    <row r="92" spans="3:8" ht="16.5">
      <c r="C92" s="502" t="s">
        <v>220</v>
      </c>
      <c r="D92" s="513" t="s">
        <v>145</v>
      </c>
      <c r="E92" s="233" t="s">
        <v>9</v>
      </c>
      <c r="F92" s="297" t="s">
        <v>221</v>
      </c>
      <c r="G92" s="2">
        <v>0</v>
      </c>
      <c r="H92" s="3">
        <v>1</v>
      </c>
    </row>
    <row r="93" spans="3:8" ht="16.5">
      <c r="C93" s="502"/>
      <c r="D93" s="514"/>
      <c r="E93" s="234" t="s">
        <v>56</v>
      </c>
      <c r="F93" s="298" t="s">
        <v>222</v>
      </c>
      <c r="G93" s="2">
        <v>0</v>
      </c>
      <c r="H93" s="3">
        <v>8</v>
      </c>
    </row>
    <row r="94" spans="3:8" ht="16.5">
      <c r="C94" s="502"/>
      <c r="D94" s="511" t="s">
        <v>148</v>
      </c>
      <c r="E94" s="229" t="s">
        <v>9</v>
      </c>
      <c r="F94" s="319" t="s">
        <v>223</v>
      </c>
      <c r="G94" s="2">
        <v>0</v>
      </c>
      <c r="H94" s="1">
        <v>0</v>
      </c>
    </row>
    <row r="95" spans="3:8" ht="16.5">
      <c r="C95" s="502"/>
      <c r="D95" s="512"/>
      <c r="E95" s="230" t="s">
        <v>56</v>
      </c>
      <c r="F95" s="320" t="s">
        <v>224</v>
      </c>
      <c r="G95" s="2">
        <v>0</v>
      </c>
      <c r="H95" s="3">
        <v>0</v>
      </c>
    </row>
    <row r="96" spans="3:8" ht="16.5">
      <c r="C96" s="502"/>
      <c r="D96" s="517" t="s">
        <v>225</v>
      </c>
      <c r="E96" s="237" t="s">
        <v>9</v>
      </c>
      <c r="F96" s="301" t="s">
        <v>226</v>
      </c>
      <c r="G96" s="2">
        <v>0</v>
      </c>
      <c r="H96" s="3">
        <v>0</v>
      </c>
    </row>
    <row r="97" spans="3:8" ht="16.5">
      <c r="C97" s="503"/>
      <c r="D97" s="518"/>
      <c r="E97" s="238" t="s">
        <v>56</v>
      </c>
      <c r="F97" s="302" t="s">
        <v>227</v>
      </c>
      <c r="G97" s="2">
        <v>1</v>
      </c>
      <c r="H97" s="3">
        <v>1</v>
      </c>
    </row>
    <row r="98" spans="3:8" ht="16.5">
      <c r="C98" s="502" t="s">
        <v>228</v>
      </c>
      <c r="D98" s="497" t="s">
        <v>108</v>
      </c>
      <c r="E98" s="245" t="s">
        <v>9</v>
      </c>
      <c r="F98" s="188" t="s">
        <v>229</v>
      </c>
      <c r="G98" s="2">
        <v>0</v>
      </c>
      <c r="H98" s="4">
        <v>0</v>
      </c>
    </row>
    <row r="99" spans="3:8" ht="16.5">
      <c r="C99" s="502"/>
      <c r="D99" s="519"/>
      <c r="E99" s="207" t="s">
        <v>56</v>
      </c>
      <c r="F99" s="164" t="s">
        <v>230</v>
      </c>
      <c r="G99" s="2">
        <v>32</v>
      </c>
      <c r="H99" s="3">
        <v>327</v>
      </c>
    </row>
    <row r="100" spans="3:8" ht="16.5">
      <c r="C100" s="502"/>
      <c r="D100" s="507" t="s">
        <v>93</v>
      </c>
      <c r="E100" s="255" t="s">
        <v>9</v>
      </c>
      <c r="F100" s="192" t="s">
        <v>231</v>
      </c>
      <c r="G100" s="2">
        <v>0</v>
      </c>
      <c r="H100" s="3">
        <v>0</v>
      </c>
    </row>
    <row r="101" spans="3:8" ht="16.5">
      <c r="C101" s="502"/>
      <c r="D101" s="508"/>
      <c r="E101" s="219" t="s">
        <v>56</v>
      </c>
      <c r="F101" s="193" t="s">
        <v>232</v>
      </c>
      <c r="G101" s="2">
        <v>22</v>
      </c>
      <c r="H101" s="3">
        <v>265</v>
      </c>
    </row>
    <row r="102" spans="3:8" ht="16.5">
      <c r="C102" s="502"/>
      <c r="D102" s="520" t="s">
        <v>233</v>
      </c>
      <c r="E102" s="256" t="s">
        <v>9</v>
      </c>
      <c r="F102" s="194" t="s">
        <v>234</v>
      </c>
      <c r="G102" s="2">
        <v>0</v>
      </c>
      <c r="H102" s="3">
        <v>0</v>
      </c>
    </row>
    <row r="103" spans="3:8" ht="16.5">
      <c r="C103" s="502"/>
      <c r="D103" s="521"/>
      <c r="E103" s="257" t="s">
        <v>56</v>
      </c>
      <c r="F103" s="195" t="s">
        <v>235</v>
      </c>
      <c r="G103" s="2">
        <v>0</v>
      </c>
      <c r="H103" s="3">
        <v>0</v>
      </c>
    </row>
    <row r="104" spans="3:8" ht="16.5">
      <c r="C104" s="502"/>
      <c r="D104" s="506" t="s">
        <v>236</v>
      </c>
      <c r="E104" s="231" t="s">
        <v>9</v>
      </c>
      <c r="F104" s="179" t="s">
        <v>237</v>
      </c>
      <c r="G104" s="2">
        <v>0</v>
      </c>
      <c r="H104" s="5">
        <v>0</v>
      </c>
    </row>
    <row r="105" spans="3:8" ht="16.5">
      <c r="C105" s="502"/>
      <c r="D105" s="522"/>
      <c r="E105" s="232" t="s">
        <v>56</v>
      </c>
      <c r="F105" s="180" t="s">
        <v>238</v>
      </c>
      <c r="G105" s="2">
        <v>0</v>
      </c>
      <c r="H105" s="5">
        <v>0</v>
      </c>
    </row>
    <row r="106" spans="3:8" ht="16.5">
      <c r="C106" s="502"/>
      <c r="D106" s="523" t="s">
        <v>239</v>
      </c>
      <c r="E106" s="218" t="s">
        <v>9</v>
      </c>
      <c r="F106" s="196" t="s">
        <v>240</v>
      </c>
      <c r="G106" s="2">
        <v>134</v>
      </c>
      <c r="H106" s="5">
        <v>687</v>
      </c>
    </row>
    <row r="107" spans="3:8" ht="16.5">
      <c r="C107" s="503"/>
      <c r="D107" s="508"/>
      <c r="E107" s="219" t="s">
        <v>56</v>
      </c>
      <c r="F107" s="193" t="s">
        <v>241</v>
      </c>
      <c r="G107" s="2">
        <v>0</v>
      </c>
      <c r="H107" s="5">
        <v>48</v>
      </c>
    </row>
    <row r="108" spans="3:8" ht="16.5">
      <c r="C108" s="502" t="s">
        <v>242</v>
      </c>
      <c r="D108" s="509" t="s">
        <v>243</v>
      </c>
      <c r="E108" s="241" t="s">
        <v>9</v>
      </c>
      <c r="F108" s="183" t="s">
        <v>244</v>
      </c>
      <c r="G108" s="2">
        <v>0</v>
      </c>
      <c r="H108" s="5">
        <v>0</v>
      </c>
    </row>
    <row r="109" spans="3:8" ht="16.5">
      <c r="C109" s="502"/>
      <c r="D109" s="510"/>
      <c r="E109" s="242" t="s">
        <v>56</v>
      </c>
      <c r="F109" s="184" t="s">
        <v>245</v>
      </c>
      <c r="G109" s="2">
        <v>32</v>
      </c>
      <c r="H109" s="5">
        <v>197</v>
      </c>
    </row>
    <row r="110" spans="3:8" ht="16.5">
      <c r="C110" s="502"/>
      <c r="D110" s="511" t="s">
        <v>27</v>
      </c>
      <c r="E110" s="229" t="s">
        <v>9</v>
      </c>
      <c r="F110" s="177" t="s">
        <v>246</v>
      </c>
      <c r="G110" s="2">
        <v>5</v>
      </c>
      <c r="H110" s="5">
        <v>13</v>
      </c>
    </row>
    <row r="111" spans="3:8" ht="16.5">
      <c r="C111" s="502"/>
      <c r="D111" s="512"/>
      <c r="E111" s="230" t="s">
        <v>56</v>
      </c>
      <c r="F111" s="178" t="s">
        <v>247</v>
      </c>
      <c r="G111" s="2">
        <v>0</v>
      </c>
      <c r="H111" s="5">
        <v>0</v>
      </c>
    </row>
    <row r="112" spans="3:8" ht="16.5">
      <c r="C112" s="502"/>
      <c r="D112" s="513" t="s">
        <v>184</v>
      </c>
      <c r="E112" s="258" t="s">
        <v>9</v>
      </c>
      <c r="F112" s="297" t="s">
        <v>248</v>
      </c>
      <c r="G112" s="2">
        <v>9</v>
      </c>
      <c r="H112" s="5">
        <v>79</v>
      </c>
    </row>
    <row r="113" spans="3:8" ht="16.5">
      <c r="C113" s="502"/>
      <c r="D113" s="514"/>
      <c r="E113" s="259" t="s">
        <v>56</v>
      </c>
      <c r="F113" s="298" t="s">
        <v>249</v>
      </c>
      <c r="G113" s="2">
        <v>1</v>
      </c>
      <c r="H113" s="5">
        <v>50</v>
      </c>
    </row>
    <row r="114" spans="3:8" ht="16.5">
      <c r="C114" s="502"/>
      <c r="D114" s="515" t="s">
        <v>187</v>
      </c>
      <c r="E114" s="260" t="s">
        <v>9</v>
      </c>
      <c r="F114" s="321" t="s">
        <v>250</v>
      </c>
      <c r="G114" s="2">
        <v>6</v>
      </c>
      <c r="H114" s="3">
        <v>114</v>
      </c>
    </row>
    <row r="115" spans="3:8" ht="16.5">
      <c r="C115" s="502"/>
      <c r="D115" s="516"/>
      <c r="E115" s="261" t="s">
        <v>56</v>
      </c>
      <c r="F115" s="322" t="s">
        <v>251</v>
      </c>
      <c r="G115" s="2">
        <v>1</v>
      </c>
      <c r="H115" s="3">
        <v>57</v>
      </c>
    </row>
    <row r="116" spans="3:8" ht="16.5">
      <c r="C116" s="502"/>
      <c r="D116" s="517" t="s">
        <v>190</v>
      </c>
      <c r="E116" s="262" t="s">
        <v>9</v>
      </c>
      <c r="F116" s="301" t="s">
        <v>252</v>
      </c>
      <c r="G116" s="2">
        <v>7</v>
      </c>
      <c r="H116" s="3">
        <v>73</v>
      </c>
    </row>
    <row r="117" spans="3:8" ht="16.5">
      <c r="C117" s="503"/>
      <c r="D117" s="518"/>
      <c r="E117" s="263" t="s">
        <v>56</v>
      </c>
      <c r="F117" s="302" t="s">
        <v>253</v>
      </c>
      <c r="G117" s="2">
        <v>3</v>
      </c>
      <c r="H117" s="3">
        <v>60</v>
      </c>
    </row>
    <row r="118" spans="3:8" ht="16.5">
      <c r="C118" s="502" t="s">
        <v>254</v>
      </c>
      <c r="D118" s="504" t="s">
        <v>199</v>
      </c>
      <c r="E118" s="264" t="s">
        <v>9</v>
      </c>
      <c r="F118" s="191" t="s">
        <v>255</v>
      </c>
      <c r="G118" s="2">
        <v>1</v>
      </c>
      <c r="H118" s="3">
        <v>4</v>
      </c>
    </row>
    <row r="119" spans="3:8" ht="16.5">
      <c r="C119" s="502"/>
      <c r="D119" s="505"/>
      <c r="E119" s="265" t="s">
        <v>56</v>
      </c>
      <c r="F119" s="313" t="s">
        <v>256</v>
      </c>
      <c r="G119" s="2">
        <v>0</v>
      </c>
      <c r="H119" s="3">
        <v>14</v>
      </c>
    </row>
    <row r="120" spans="3:8" ht="16.5">
      <c r="C120" s="502"/>
      <c r="D120" s="506" t="s">
        <v>202</v>
      </c>
      <c r="E120" s="266" t="s">
        <v>9</v>
      </c>
      <c r="F120" s="323" t="s">
        <v>257</v>
      </c>
      <c r="G120" s="2">
        <v>0</v>
      </c>
      <c r="H120" s="3">
        <v>1</v>
      </c>
    </row>
    <row r="121" spans="3:8" ht="16.5">
      <c r="C121" s="502"/>
      <c r="D121" s="506"/>
      <c r="E121" s="267" t="s">
        <v>56</v>
      </c>
      <c r="F121" s="312" t="s">
        <v>258</v>
      </c>
      <c r="G121" s="2">
        <v>0</v>
      </c>
      <c r="H121" s="3">
        <v>2</v>
      </c>
    </row>
    <row r="122" spans="3:8" ht="16.5">
      <c r="C122" s="502"/>
      <c r="D122" s="507" t="s">
        <v>259</v>
      </c>
      <c r="E122" s="255" t="s">
        <v>9</v>
      </c>
      <c r="F122" s="196" t="s">
        <v>260</v>
      </c>
      <c r="G122" s="2">
        <v>0</v>
      </c>
      <c r="H122" s="3">
        <v>1</v>
      </c>
    </row>
    <row r="123" spans="3:8" ht="16.5">
      <c r="C123" s="503"/>
      <c r="D123" s="508"/>
      <c r="E123" s="219" t="s">
        <v>56</v>
      </c>
      <c r="F123" s="193" t="s">
        <v>261</v>
      </c>
      <c r="G123" s="2">
        <v>0</v>
      </c>
      <c r="H123" s="3">
        <v>0</v>
      </c>
    </row>
    <row r="124" spans="3:8" ht="16.5">
      <c r="C124" s="495" t="s">
        <v>262</v>
      </c>
      <c r="D124" s="497" t="s">
        <v>263</v>
      </c>
      <c r="E124" s="245" t="s">
        <v>8</v>
      </c>
      <c r="F124" s="188" t="s">
        <v>264</v>
      </c>
      <c r="G124" s="2">
        <v>0</v>
      </c>
      <c r="H124" s="3">
        <v>0</v>
      </c>
    </row>
    <row r="125" spans="3:8" ht="16.5">
      <c r="C125" s="496"/>
      <c r="D125" s="498"/>
      <c r="E125" s="246" t="s">
        <v>9</v>
      </c>
      <c r="F125" s="189" t="s">
        <v>265</v>
      </c>
      <c r="G125" s="2">
        <v>0</v>
      </c>
      <c r="H125" s="6">
        <v>0</v>
      </c>
    </row>
    <row r="126" spans="3:8" ht="16.5">
      <c r="C126" s="495" t="s">
        <v>266</v>
      </c>
      <c r="D126" s="497" t="s">
        <v>263</v>
      </c>
      <c r="E126" s="245" t="s">
        <v>9</v>
      </c>
      <c r="F126" s="188" t="s">
        <v>267</v>
      </c>
      <c r="G126" s="2">
        <v>0</v>
      </c>
      <c r="H126" s="7">
        <v>0</v>
      </c>
    </row>
    <row r="127" spans="3:8" ht="16.5">
      <c r="C127" s="496"/>
      <c r="D127" s="498"/>
      <c r="E127" s="246" t="s">
        <v>56</v>
      </c>
      <c r="F127" s="189" t="s">
        <v>268</v>
      </c>
      <c r="G127" s="2">
        <v>0</v>
      </c>
      <c r="H127" s="7">
        <v>0</v>
      </c>
    </row>
    <row r="128" spans="3:8" ht="16.5">
      <c r="C128" s="268" t="s">
        <v>92</v>
      </c>
      <c r="D128" s="193" t="s">
        <v>93</v>
      </c>
      <c r="E128" s="219" t="s">
        <v>94</v>
      </c>
      <c r="F128" s="193" t="s">
        <v>269</v>
      </c>
      <c r="G128" s="2">
        <v>0</v>
      </c>
      <c r="H128" s="7">
        <v>88</v>
      </c>
    </row>
    <row r="129" spans="3:8" ht="49.5">
      <c r="C129" s="269" t="s">
        <v>270</v>
      </c>
      <c r="D129" s="270" t="s">
        <v>93</v>
      </c>
      <c r="E129" s="219" t="s">
        <v>271</v>
      </c>
      <c r="F129" s="193" t="s">
        <v>272</v>
      </c>
      <c r="G129" s="2">
        <v>0</v>
      </c>
      <c r="H129" s="7">
        <v>80</v>
      </c>
    </row>
    <row r="130" spans="3:8" ht="16.5">
      <c r="C130" s="499" t="s">
        <v>273</v>
      </c>
      <c r="D130" s="271" t="s">
        <v>55</v>
      </c>
      <c r="E130" s="241" t="s">
        <v>9</v>
      </c>
      <c r="F130" s="183" t="s">
        <v>274</v>
      </c>
      <c r="G130" s="2">
        <v>5</v>
      </c>
      <c r="H130" s="7">
        <v>26</v>
      </c>
    </row>
    <row r="131" spans="3:8" ht="16.5">
      <c r="C131" s="499"/>
      <c r="D131" s="272" t="s">
        <v>164</v>
      </c>
      <c r="E131" s="243" t="s">
        <v>9</v>
      </c>
      <c r="F131" s="186" t="s">
        <v>275</v>
      </c>
      <c r="G131" s="2">
        <v>3</v>
      </c>
      <c r="H131" s="5">
        <v>233</v>
      </c>
    </row>
    <row r="132" spans="3:8" ht="16.5">
      <c r="C132" s="500"/>
      <c r="D132" s="274" t="s">
        <v>108</v>
      </c>
      <c r="E132" s="246" t="s">
        <v>9</v>
      </c>
      <c r="F132" s="189" t="s">
        <v>276</v>
      </c>
      <c r="G132" s="2">
        <v>2</v>
      </c>
      <c r="H132" s="7">
        <v>228</v>
      </c>
    </row>
    <row r="133" spans="3:8" ht="18.75" customHeight="1">
      <c r="C133" s="273" t="s">
        <v>277</v>
      </c>
      <c r="D133" s="275" t="s">
        <v>278</v>
      </c>
      <c r="E133" s="276" t="s">
        <v>279</v>
      </c>
      <c r="F133" s="300" t="s">
        <v>280</v>
      </c>
      <c r="G133" s="2">
        <v>1</v>
      </c>
      <c r="H133" s="7">
        <v>20</v>
      </c>
    </row>
    <row r="134" spans="3:8" ht="18.75" customHeight="1">
      <c r="C134" s="499" t="s">
        <v>281</v>
      </c>
      <c r="D134" s="226" t="s">
        <v>133</v>
      </c>
      <c r="E134" s="176" t="s">
        <v>279</v>
      </c>
      <c r="F134" s="197" t="s">
        <v>282</v>
      </c>
      <c r="G134" s="2">
        <v>3</v>
      </c>
      <c r="H134" s="7">
        <v>6</v>
      </c>
    </row>
    <row r="135" spans="3:8" ht="18.75" customHeight="1">
      <c r="C135" s="499"/>
      <c r="D135" s="224" t="s">
        <v>130</v>
      </c>
      <c r="E135" s="277" t="s">
        <v>279</v>
      </c>
      <c r="F135" s="198" t="s">
        <v>283</v>
      </c>
      <c r="G135" s="2">
        <v>1</v>
      </c>
      <c r="H135" s="7">
        <v>15</v>
      </c>
    </row>
    <row r="136" spans="3:8" ht="18.75" customHeight="1">
      <c r="C136" s="501"/>
      <c r="D136" s="219" t="s">
        <v>284</v>
      </c>
      <c r="E136" s="170" t="s">
        <v>279</v>
      </c>
      <c r="F136" s="318" t="s">
        <v>285</v>
      </c>
      <c r="G136" s="2">
        <v>0</v>
      </c>
      <c r="H136" s="7">
        <v>0</v>
      </c>
    </row>
    <row r="137" spans="3:8" ht="18.75" customHeight="1">
      <c r="C137" s="499" t="s">
        <v>286</v>
      </c>
      <c r="D137" s="215" t="s">
        <v>199</v>
      </c>
      <c r="E137" s="169" t="s">
        <v>279</v>
      </c>
      <c r="F137" s="199" t="s">
        <v>287</v>
      </c>
      <c r="G137" s="2">
        <v>0</v>
      </c>
      <c r="H137" s="7">
        <v>15</v>
      </c>
    </row>
    <row r="138" spans="3:8" ht="18.75" customHeight="1">
      <c r="C138" s="501"/>
      <c r="D138" s="278" t="s">
        <v>202</v>
      </c>
      <c r="E138" s="232" t="s">
        <v>279</v>
      </c>
      <c r="F138" s="200" t="s">
        <v>288</v>
      </c>
      <c r="G138" s="2">
        <v>0</v>
      </c>
      <c r="H138" s="7">
        <v>20</v>
      </c>
    </row>
    <row r="139" spans="3:8" ht="18.75" customHeight="1">
      <c r="C139" s="279" t="s">
        <v>289</v>
      </c>
      <c r="D139" s="280" t="s">
        <v>278</v>
      </c>
      <c r="E139" s="236" t="s">
        <v>279</v>
      </c>
      <c r="F139" s="324" t="s">
        <v>290</v>
      </c>
      <c r="G139" s="2">
        <v>0</v>
      </c>
      <c r="H139" s="7">
        <v>17</v>
      </c>
    </row>
    <row r="140" spans="3:8" ht="18.75" customHeight="1">
      <c r="C140" s="490" t="s">
        <v>291</v>
      </c>
      <c r="D140" s="281" t="s">
        <v>133</v>
      </c>
      <c r="E140" s="226" t="s">
        <v>279</v>
      </c>
      <c r="F140" s="197" t="s">
        <v>292</v>
      </c>
      <c r="G140" s="2">
        <v>0</v>
      </c>
      <c r="H140" s="7">
        <v>23</v>
      </c>
    </row>
    <row r="141" spans="3:8" ht="18.75" customHeight="1">
      <c r="C141" s="490"/>
      <c r="D141" s="282" t="s">
        <v>130</v>
      </c>
      <c r="E141" s="224" t="s">
        <v>279</v>
      </c>
      <c r="F141" s="316" t="s">
        <v>293</v>
      </c>
      <c r="G141" s="2">
        <v>0</v>
      </c>
      <c r="H141" s="7">
        <v>24</v>
      </c>
    </row>
    <row r="142" spans="3:8" ht="18.75" customHeight="1">
      <c r="C142" s="491"/>
      <c r="D142" s="270" t="s">
        <v>284</v>
      </c>
      <c r="E142" s="219" t="s">
        <v>279</v>
      </c>
      <c r="F142" s="318" t="s">
        <v>294</v>
      </c>
      <c r="G142" s="2">
        <v>0</v>
      </c>
      <c r="H142" s="7">
        <v>0</v>
      </c>
    </row>
    <row r="143" spans="3:8" ht="18.75" customHeight="1">
      <c r="C143" s="492" t="s">
        <v>295</v>
      </c>
      <c r="D143" s="283" t="s">
        <v>199</v>
      </c>
      <c r="E143" s="215" t="s">
        <v>279</v>
      </c>
      <c r="F143" s="325" t="s">
        <v>296</v>
      </c>
      <c r="G143" s="2">
        <v>0</v>
      </c>
      <c r="H143" s="7">
        <v>24</v>
      </c>
    </row>
    <row r="144" spans="3:8" ht="18.75" customHeight="1">
      <c r="C144" s="493"/>
      <c r="D144" s="284" t="s">
        <v>202</v>
      </c>
      <c r="E144" s="232" t="s">
        <v>279</v>
      </c>
      <c r="F144" s="326" t="s">
        <v>297</v>
      </c>
      <c r="G144" s="2">
        <v>0</v>
      </c>
      <c r="H144" s="7">
        <v>24</v>
      </c>
    </row>
    <row r="145" spans="3:8" ht="13.5" customHeight="1">
      <c r="C145" s="484" t="s">
        <v>97</v>
      </c>
      <c r="D145" s="484"/>
      <c r="E145" s="484"/>
      <c r="F145" s="201"/>
      <c r="G145" s="485">
        <f>SUM(G5:G144)</f>
        <v>1392</v>
      </c>
      <c r="H145" s="489">
        <f>SUM(H5:H144)</f>
        <v>18820</v>
      </c>
    </row>
    <row r="146" spans="3:8" ht="13.5" customHeight="1">
      <c r="C146" s="484"/>
      <c r="D146" s="484"/>
      <c r="E146" s="484"/>
      <c r="F146" s="201"/>
      <c r="G146" s="486"/>
      <c r="H146" s="489"/>
    </row>
  </sheetData>
  <mergeCells count="88">
    <mergeCell ref="F3:F4"/>
    <mergeCell ref="C5:C31"/>
    <mergeCell ref="D5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C32:C35"/>
    <mergeCell ref="D32:D33"/>
    <mergeCell ref="D34:D35"/>
    <mergeCell ref="C36:C41"/>
    <mergeCell ref="D36:D37"/>
    <mergeCell ref="D38:D39"/>
    <mergeCell ref="D40:D41"/>
    <mergeCell ref="C42:C55"/>
    <mergeCell ref="D42:D43"/>
    <mergeCell ref="D44:D45"/>
    <mergeCell ref="D46:D47"/>
    <mergeCell ref="D48:D49"/>
    <mergeCell ref="D50:D51"/>
    <mergeCell ref="D52:D53"/>
    <mergeCell ref="D54:D55"/>
    <mergeCell ref="C56:C69"/>
    <mergeCell ref="D56:D57"/>
    <mergeCell ref="D58:D59"/>
    <mergeCell ref="D60:D61"/>
    <mergeCell ref="D62:D63"/>
    <mergeCell ref="D64:D65"/>
    <mergeCell ref="D66:D67"/>
    <mergeCell ref="D68:D69"/>
    <mergeCell ref="C70:C77"/>
    <mergeCell ref="D70:D71"/>
    <mergeCell ref="D72:D73"/>
    <mergeCell ref="D74:D75"/>
    <mergeCell ref="D76:D77"/>
    <mergeCell ref="C78:C91"/>
    <mergeCell ref="D78:D79"/>
    <mergeCell ref="D80:D81"/>
    <mergeCell ref="D82:D83"/>
    <mergeCell ref="D84:D85"/>
    <mergeCell ref="D86:D87"/>
    <mergeCell ref="D88:D89"/>
    <mergeCell ref="D90:D91"/>
    <mergeCell ref="C92:C97"/>
    <mergeCell ref="D92:D93"/>
    <mergeCell ref="D94:D95"/>
    <mergeCell ref="D96:D97"/>
    <mergeCell ref="C98:C107"/>
    <mergeCell ref="D98:D99"/>
    <mergeCell ref="D100:D101"/>
    <mergeCell ref="D102:D103"/>
    <mergeCell ref="D104:D105"/>
    <mergeCell ref="D106:D107"/>
    <mergeCell ref="C108:C11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C124:C125"/>
    <mergeCell ref="D124:D125"/>
    <mergeCell ref="C145:E146"/>
    <mergeCell ref="G145:G146"/>
    <mergeCell ref="G3:G4"/>
    <mergeCell ref="H3:H4"/>
    <mergeCell ref="H145:H146"/>
    <mergeCell ref="C140:C142"/>
    <mergeCell ref="C143:C144"/>
    <mergeCell ref="C3:C4"/>
    <mergeCell ref="D3:D4"/>
    <mergeCell ref="E3:E4"/>
    <mergeCell ref="C126:C127"/>
    <mergeCell ref="D126:D127"/>
    <mergeCell ref="C130:C132"/>
    <mergeCell ref="C134:C136"/>
    <mergeCell ref="C137:C138"/>
    <mergeCell ref="C118:C12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516C-44C6-4DCA-93FF-729719E57BBA}">
  <dimension ref="B3:Q19"/>
  <sheetViews>
    <sheetView tabSelected="1" workbookViewId="0">
      <selection activeCell="F2" sqref="F2"/>
    </sheetView>
  </sheetViews>
  <sheetFormatPr defaultRowHeight="16.5"/>
  <cols>
    <col min="1" max="1" width="9" style="8"/>
    <col min="2" max="2" width="19.5" style="8" bestFit="1" customWidth="1"/>
    <col min="3" max="3" width="9" style="8"/>
    <col min="4" max="4" width="9.375" style="8" bestFit="1" customWidth="1"/>
    <col min="5" max="16384" width="9" style="8"/>
  </cols>
  <sheetData>
    <row r="3" spans="2:17">
      <c r="B3" s="47" t="s">
        <v>298</v>
      </c>
    </row>
    <row r="4" spans="2:17">
      <c r="B4" s="145" t="s">
        <v>299</v>
      </c>
      <c r="C4" s="145" t="s">
        <v>301</v>
      </c>
      <c r="D4" s="145" t="s">
        <v>302</v>
      </c>
      <c r="E4" s="145" t="s">
        <v>303</v>
      </c>
      <c r="F4" s="145" t="s">
        <v>304</v>
      </c>
      <c r="G4" s="145" t="s">
        <v>305</v>
      </c>
      <c r="H4" s="145" t="s">
        <v>306</v>
      </c>
      <c r="I4" s="145" t="s">
        <v>307</v>
      </c>
      <c r="J4" s="145" t="s">
        <v>308</v>
      </c>
      <c r="K4" s="145" t="s">
        <v>309</v>
      </c>
      <c r="L4" s="145" t="s">
        <v>310</v>
      </c>
      <c r="M4" s="145" t="s">
        <v>311</v>
      </c>
      <c r="N4" s="145" t="s">
        <v>300</v>
      </c>
    </row>
    <row r="5" spans="2:17">
      <c r="B5" s="146" t="s">
        <v>312</v>
      </c>
      <c r="C5" s="147">
        <v>931</v>
      </c>
      <c r="D5" s="147">
        <v>980</v>
      </c>
      <c r="E5" s="147">
        <v>1083</v>
      </c>
      <c r="F5" s="147">
        <v>816</v>
      </c>
      <c r="G5" s="147">
        <v>763</v>
      </c>
      <c r="H5" s="147">
        <v>763</v>
      </c>
      <c r="I5" s="327">
        <v>862</v>
      </c>
      <c r="J5" s="147">
        <v>656</v>
      </c>
      <c r="K5" s="328">
        <v>628</v>
      </c>
      <c r="L5" s="328">
        <v>766</v>
      </c>
      <c r="M5" s="328">
        <v>544</v>
      </c>
      <c r="N5" s="155">
        <v>677</v>
      </c>
      <c r="Q5" s="146" t="s">
        <v>312</v>
      </c>
    </row>
    <row r="6" spans="2:17">
      <c r="B6" s="146" t="s">
        <v>313</v>
      </c>
      <c r="C6" s="147">
        <v>380</v>
      </c>
      <c r="D6" s="147">
        <v>425</v>
      </c>
      <c r="E6" s="147">
        <v>491</v>
      </c>
      <c r="F6" s="147">
        <v>478</v>
      </c>
      <c r="G6" s="147">
        <v>366</v>
      </c>
      <c r="H6" s="147">
        <v>381</v>
      </c>
      <c r="I6" s="327">
        <v>481</v>
      </c>
      <c r="J6" s="147">
        <v>327</v>
      </c>
      <c r="K6" s="328">
        <v>307</v>
      </c>
      <c r="L6" s="328">
        <v>280</v>
      </c>
      <c r="M6" s="328">
        <v>212</v>
      </c>
      <c r="N6" s="155">
        <v>266</v>
      </c>
      <c r="Q6" s="146" t="s">
        <v>313</v>
      </c>
    </row>
    <row r="7" spans="2:17">
      <c r="B7" s="146" t="s">
        <v>314</v>
      </c>
      <c r="C7" s="147">
        <v>41</v>
      </c>
      <c r="D7" s="147">
        <v>48</v>
      </c>
      <c r="E7" s="147">
        <v>30</v>
      </c>
      <c r="F7" s="147">
        <v>39</v>
      </c>
      <c r="G7" s="147">
        <v>46</v>
      </c>
      <c r="H7" s="147">
        <v>29</v>
      </c>
      <c r="I7" s="327">
        <v>0</v>
      </c>
      <c r="J7" s="147">
        <v>0</v>
      </c>
      <c r="K7" s="328">
        <f>-P8</f>
        <v>0</v>
      </c>
      <c r="L7" s="333" t="s">
        <v>315</v>
      </c>
      <c r="M7" s="333" t="s">
        <v>315</v>
      </c>
      <c r="N7" s="331" t="s">
        <v>315</v>
      </c>
      <c r="O7" s="336"/>
      <c r="Q7" s="146" t="s">
        <v>314</v>
      </c>
    </row>
    <row r="8" spans="2:17">
      <c r="B8" s="146" t="s">
        <v>316</v>
      </c>
      <c r="C8" s="147">
        <v>576</v>
      </c>
      <c r="D8" s="147">
        <v>596</v>
      </c>
      <c r="E8" s="147">
        <v>676</v>
      </c>
      <c r="F8" s="147">
        <v>976</v>
      </c>
      <c r="G8" s="147">
        <v>985</v>
      </c>
      <c r="H8" s="147">
        <v>1398</v>
      </c>
      <c r="I8" s="327">
        <v>1131</v>
      </c>
      <c r="J8" s="147">
        <v>848</v>
      </c>
      <c r="K8" s="328">
        <v>644</v>
      </c>
      <c r="L8" s="328">
        <v>815</v>
      </c>
      <c r="M8" s="328">
        <v>423</v>
      </c>
      <c r="N8" s="155">
        <v>365</v>
      </c>
      <c r="O8" s="335"/>
      <c r="Q8" s="146" t="s">
        <v>316</v>
      </c>
    </row>
    <row r="9" spans="2:17">
      <c r="B9" s="146" t="s">
        <v>317</v>
      </c>
      <c r="C9" s="147"/>
      <c r="D9" s="147"/>
      <c r="E9" s="147"/>
      <c r="F9" s="148"/>
      <c r="G9" s="148"/>
      <c r="H9" s="147"/>
      <c r="I9" s="327"/>
      <c r="J9" s="147">
        <v>56</v>
      </c>
      <c r="K9" s="328">
        <v>50</v>
      </c>
      <c r="L9" s="328">
        <v>24</v>
      </c>
      <c r="M9" s="328">
        <v>90</v>
      </c>
      <c r="N9" s="155">
        <v>38</v>
      </c>
      <c r="O9" s="335"/>
      <c r="Q9" s="146" t="s">
        <v>317</v>
      </c>
    </row>
    <row r="10" spans="2:17">
      <c r="B10" s="146" t="s">
        <v>318</v>
      </c>
      <c r="C10" s="147"/>
      <c r="D10" s="147"/>
      <c r="E10" s="147"/>
      <c r="F10" s="148"/>
      <c r="G10" s="148"/>
      <c r="H10" s="147"/>
      <c r="I10" s="327"/>
      <c r="J10" s="147">
        <v>0</v>
      </c>
      <c r="K10" s="328">
        <v>15</v>
      </c>
      <c r="L10" s="328">
        <f>-P12</f>
        <v>0</v>
      </c>
      <c r="M10" s="328">
        <v>0</v>
      </c>
      <c r="N10" s="337" t="s">
        <v>315</v>
      </c>
      <c r="Q10" s="146" t="s">
        <v>318</v>
      </c>
    </row>
    <row r="11" spans="2:17">
      <c r="B11" s="146" t="s">
        <v>319</v>
      </c>
      <c r="C11" s="147">
        <v>48</v>
      </c>
      <c r="D11" s="147"/>
      <c r="E11" s="147">
        <v>36</v>
      </c>
      <c r="F11" s="148"/>
      <c r="G11" s="148"/>
      <c r="H11" s="147"/>
      <c r="I11" s="327"/>
      <c r="J11" s="147">
        <v>0</v>
      </c>
      <c r="K11" s="328">
        <v>134</v>
      </c>
      <c r="L11" s="328">
        <v>48</v>
      </c>
      <c r="M11" s="328">
        <v>45</v>
      </c>
      <c r="N11" s="337" t="s">
        <v>315</v>
      </c>
      <c r="Q11" s="146" t="s">
        <v>319</v>
      </c>
    </row>
    <row r="12" spans="2:17">
      <c r="B12" s="146" t="s">
        <v>320</v>
      </c>
      <c r="C12" s="149">
        <v>288</v>
      </c>
      <c r="D12" s="149">
        <v>480</v>
      </c>
      <c r="E12" s="149">
        <v>1032</v>
      </c>
      <c r="F12" s="150"/>
      <c r="G12" s="150"/>
      <c r="H12" s="149"/>
      <c r="I12" s="329">
        <v>1500</v>
      </c>
      <c r="J12" s="149">
        <v>200</v>
      </c>
      <c r="K12" s="330">
        <v>600</v>
      </c>
      <c r="L12" s="330">
        <v>850</v>
      </c>
      <c r="M12" s="330">
        <v>350</v>
      </c>
      <c r="N12" s="338" t="s">
        <v>315</v>
      </c>
      <c r="Q12" s="146" t="s">
        <v>320</v>
      </c>
    </row>
    <row r="13" spans="2:17">
      <c r="B13" s="146" t="s">
        <v>321</v>
      </c>
      <c r="C13" s="149">
        <v>90</v>
      </c>
      <c r="D13" s="149">
        <v>1</v>
      </c>
      <c r="E13" s="149"/>
      <c r="F13" s="150">
        <v>16</v>
      </c>
      <c r="G13" s="150">
        <v>5</v>
      </c>
      <c r="H13" s="149">
        <v>41</v>
      </c>
      <c r="I13" s="329">
        <v>33</v>
      </c>
      <c r="J13" s="149">
        <v>75</v>
      </c>
      <c r="K13" s="330">
        <v>40</v>
      </c>
      <c r="L13" s="330">
        <v>70</v>
      </c>
      <c r="M13" s="330">
        <v>45</v>
      </c>
      <c r="N13" s="156">
        <v>27</v>
      </c>
      <c r="Q13" s="146" t="s">
        <v>321</v>
      </c>
    </row>
    <row r="14" spans="2:17" ht="18" customHeight="1">
      <c r="B14" s="146" t="s">
        <v>322</v>
      </c>
      <c r="C14" s="149"/>
      <c r="D14" s="149"/>
      <c r="E14" s="149"/>
      <c r="F14" s="150"/>
      <c r="G14" s="150"/>
      <c r="H14" s="149"/>
      <c r="I14" s="329"/>
      <c r="J14" s="149">
        <v>18</v>
      </c>
      <c r="K14" s="330">
        <v>7</v>
      </c>
      <c r="L14" s="330">
        <v>10</v>
      </c>
      <c r="M14" s="330">
        <v>2</v>
      </c>
      <c r="N14" s="156">
        <v>19</v>
      </c>
      <c r="Q14" s="146" t="s">
        <v>322</v>
      </c>
    </row>
    <row r="15" spans="2:17" ht="18" customHeight="1">
      <c r="B15" s="146" t="s">
        <v>323</v>
      </c>
      <c r="C15" s="149"/>
      <c r="D15" s="149"/>
      <c r="E15" s="149"/>
      <c r="F15" s="150"/>
      <c r="G15" s="150"/>
      <c r="H15" s="149"/>
      <c r="I15" s="329"/>
      <c r="J15" s="149"/>
      <c r="K15" s="330">
        <v>8</v>
      </c>
      <c r="L15" s="334" t="s">
        <v>315</v>
      </c>
      <c r="M15" s="334" t="s">
        <v>315</v>
      </c>
      <c r="N15" s="332" t="s">
        <v>315</v>
      </c>
      <c r="Q15" s="146" t="s">
        <v>323</v>
      </c>
    </row>
    <row r="16" spans="2:17">
      <c r="B16" s="151" t="s">
        <v>324</v>
      </c>
      <c r="C16" s="152">
        <f>SUM(C5:C13)</f>
        <v>2354</v>
      </c>
      <c r="D16" s="152">
        <f t="shared" ref="D16:H16" si="0">SUM(D5:D13)</f>
        <v>2530</v>
      </c>
      <c r="E16" s="152">
        <f t="shared" si="0"/>
        <v>3348</v>
      </c>
      <c r="F16" s="152">
        <f t="shared" si="0"/>
        <v>2325</v>
      </c>
      <c r="G16" s="152">
        <f t="shared" si="0"/>
        <v>2165</v>
      </c>
      <c r="H16" s="152">
        <f t="shared" si="0"/>
        <v>2612</v>
      </c>
      <c r="I16" s="152">
        <f>SUM(I5:I13)</f>
        <v>4007</v>
      </c>
      <c r="J16" s="152">
        <f>SUM(J5:J14)</f>
        <v>2180</v>
      </c>
      <c r="K16" s="152">
        <f>SUM(K5:K15)</f>
        <v>2433</v>
      </c>
      <c r="L16" s="152">
        <f>SUM(L5:L15)</f>
        <v>2863</v>
      </c>
      <c r="M16" s="152">
        <f>SUM(M5:M15)</f>
        <v>1711</v>
      </c>
      <c r="N16" s="152">
        <f>SUM(N5:N15)</f>
        <v>1392</v>
      </c>
    </row>
    <row r="18" spans="2:4">
      <c r="B18" s="153">
        <v>45992</v>
      </c>
      <c r="C18" s="145" t="s">
        <v>4</v>
      </c>
      <c r="D18" s="145" t="s">
        <v>99</v>
      </c>
    </row>
    <row r="19" spans="2:4">
      <c r="B19" s="154" t="s">
        <v>325</v>
      </c>
      <c r="C19" s="148">
        <v>1711</v>
      </c>
      <c r="D19" s="148">
        <v>14163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Monthly Sell out by Items</vt:lpstr>
      <vt:lpstr>Stock on Hand2026.3</vt:lpstr>
      <vt:lpstr>Sell out MAR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Penney Park</dc:creator>
  <cp:keywords/>
  <dc:description/>
  <cp:lastModifiedBy>YeongSu</cp:lastModifiedBy>
  <cp:revision/>
  <dcterms:created xsi:type="dcterms:W3CDTF">2025-10-01T08:01:02Z</dcterms:created>
  <dcterms:modified xsi:type="dcterms:W3CDTF">2026-04-15T02:30:51Z</dcterms:modified>
  <cp:category/>
  <cp:contentStatus/>
</cp:coreProperties>
</file>